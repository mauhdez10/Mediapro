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imaginatv-my.sharepoint.com/personal/mhernandezr_mediapro_tv/Documents/Documentos/Grids/Grids V2/"/>
    </mc:Choice>
  </mc:AlternateContent>
  <xr:revisionPtr revIDLastSave="607" documentId="13_ncr:1_{53CF2D75-E5B6-44B5-948B-8D6EC725CAE2}" xr6:coauthVersionLast="47" xr6:coauthVersionMax="47" xr10:uidLastSave="{7542D6FC-7967-4765-BADD-F93881FF9FDC}"/>
  <bookViews>
    <workbookView showHorizontalScroll="0" showVerticalScroll="0" showSheetTabs="0" xWindow="28680" yWindow="-120" windowWidth="29040" windowHeight="15720" xr2:uid="{00000000-000D-0000-FFFF-FFFF00000000}"/>
  </bookViews>
  <sheets>
    <sheet name="Grilla CATV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  <c r="E2" i="2"/>
  <c r="D2" i="2"/>
  <c r="E27" i="2"/>
  <c r="F27" i="2"/>
  <c r="G27" i="2"/>
  <c r="D15" i="2"/>
  <c r="E15" i="2"/>
  <c r="F15" i="2"/>
  <c r="G15" i="2"/>
  <c r="F44" i="2"/>
  <c r="G46" i="2"/>
  <c r="E42" i="2"/>
  <c r="F46" i="2"/>
  <c r="D46" i="2"/>
  <c r="D48" i="2"/>
  <c r="E48" i="2"/>
  <c r="F48" i="2"/>
  <c r="G48" i="2"/>
  <c r="E43" i="2"/>
  <c r="E44" i="2"/>
  <c r="D27" i="2"/>
  <c r="D42" i="2"/>
  <c r="G42" i="2"/>
  <c r="C43" i="2"/>
  <c r="C42" i="2"/>
  <c r="F43" i="2"/>
  <c r="G43" i="2"/>
  <c r="G44" i="2"/>
  <c r="C46" i="2"/>
  <c r="C48" i="2"/>
  <c r="D43" i="2"/>
  <c r="D44" i="2"/>
  <c r="C44" i="2"/>
  <c r="C27" i="2"/>
  <c r="C15" i="2"/>
</calcChain>
</file>

<file path=xl/sharedStrings.xml><?xml version="1.0" encoding="utf-8"?>
<sst xmlns="http://schemas.openxmlformats.org/spreadsheetml/2006/main" count="283" uniqueCount="133">
  <si>
    <t>ET</t>
  </si>
  <si>
    <t xml:space="preserve">Noticiero Guatevisión </t>
  </si>
  <si>
    <t>Noticiero Telemetro</t>
  </si>
  <si>
    <t>El Noticiero</t>
  </si>
  <si>
    <t xml:space="preserve">TCS Noticias </t>
  </si>
  <si>
    <t>Noticias 4 Visión</t>
  </si>
  <si>
    <t xml:space="preserve">Hola El Salvador USA </t>
  </si>
  <si>
    <t xml:space="preserve">Telenoticias  </t>
  </si>
  <si>
    <t>Hoy Mismo Estelar</t>
  </si>
  <si>
    <t>Viva la Mañana</t>
  </si>
  <si>
    <t xml:space="preserve">Frente a Frente </t>
  </si>
  <si>
    <t>Reencuentro</t>
  </si>
  <si>
    <t>Noticiero Hoy Mismo</t>
  </si>
  <si>
    <t>Hoy Mismo Sabatino</t>
  </si>
  <si>
    <t>La Santa Misa Dominical</t>
  </si>
  <si>
    <t>Impacto directo</t>
  </si>
  <si>
    <t>GRILLA CENTROAMÉRICA TV SEMANA DEL 27 DE JULIO AL 02 DE AGOSTO  2026</t>
  </si>
  <si>
    <t>TMPN0726</t>
  </si>
  <si>
    <t>IDGT0724</t>
  </si>
  <si>
    <t>TCSSV0727</t>
  </si>
  <si>
    <t>VMGT0727</t>
  </si>
  <si>
    <t>TCSSVA0727</t>
  </si>
  <si>
    <t>FFSV0727</t>
  </si>
  <si>
    <t>NHM0727</t>
  </si>
  <si>
    <t>Teledos T2SV0727</t>
  </si>
  <si>
    <t>Notivos NVOS0727</t>
  </si>
  <si>
    <t>Deportivos DNC0727</t>
  </si>
  <si>
    <t>NGGTA0727</t>
  </si>
  <si>
    <t>Más que noticias MQN0724</t>
  </si>
  <si>
    <t>TCR0727</t>
  </si>
  <si>
    <t>HME0727</t>
  </si>
  <si>
    <t>ENSV0727</t>
  </si>
  <si>
    <t>N4SV0727</t>
  </si>
  <si>
    <t>NGGTB0727</t>
  </si>
  <si>
    <t>TMPN0727</t>
  </si>
  <si>
    <t>IDGT0727</t>
  </si>
  <si>
    <t>TCSSV0728</t>
  </si>
  <si>
    <t>VMGT0728</t>
  </si>
  <si>
    <t>TCSSVA0728</t>
  </si>
  <si>
    <t>FFSV0728</t>
  </si>
  <si>
    <t>NHM0728</t>
  </si>
  <si>
    <t>Teledos T2SV0728</t>
  </si>
  <si>
    <t>Notivos NVOS0728</t>
  </si>
  <si>
    <t>Deportivos DNC0728</t>
  </si>
  <si>
    <t>NGGTA0728</t>
  </si>
  <si>
    <t>Más que noticias MQN0727</t>
  </si>
  <si>
    <t>TCR0728</t>
  </si>
  <si>
    <t>HME0728</t>
  </si>
  <si>
    <t>ENSV0728</t>
  </si>
  <si>
    <t>N4SV0728</t>
  </si>
  <si>
    <t>NGGTB0728</t>
  </si>
  <si>
    <t>TMPN0728</t>
  </si>
  <si>
    <t>IDGT0728</t>
  </si>
  <si>
    <t>TCSSV0729</t>
  </si>
  <si>
    <t>VMGT0729</t>
  </si>
  <si>
    <t>TCSSVA0729</t>
  </si>
  <si>
    <t>FFSV0729</t>
  </si>
  <si>
    <t>NHM0729</t>
  </si>
  <si>
    <t>Teledos T2SV0729</t>
  </si>
  <si>
    <t>Notivos NVOS0729</t>
  </si>
  <si>
    <t>Deportivos DNC0729</t>
  </si>
  <si>
    <t>NGGTA0729</t>
  </si>
  <si>
    <t>Más que noticias MQN0728</t>
  </si>
  <si>
    <t>TCR0729</t>
  </si>
  <si>
    <t>HME0729</t>
  </si>
  <si>
    <t>ENSV0729</t>
  </si>
  <si>
    <t>N4SV0729</t>
  </si>
  <si>
    <t>NGGTB0729</t>
  </si>
  <si>
    <t>TMPN0729</t>
  </si>
  <si>
    <t>IDGT0729</t>
  </si>
  <si>
    <t>TCSSV0730</t>
  </si>
  <si>
    <t>VMGT0730</t>
  </si>
  <si>
    <t>TCSSVA0730</t>
  </si>
  <si>
    <t>FFSV0730</t>
  </si>
  <si>
    <t>NHM0730</t>
  </si>
  <si>
    <t>Teledos T2SV0730</t>
  </si>
  <si>
    <t>Notivos NVOS0730</t>
  </si>
  <si>
    <t>Deportivos DNC0730</t>
  </si>
  <si>
    <t>NGGTA0730</t>
  </si>
  <si>
    <t>Más que noticias MQN0729</t>
  </si>
  <si>
    <t>TCR0730</t>
  </si>
  <si>
    <t>HME0730</t>
  </si>
  <si>
    <t>N4SV0730</t>
  </si>
  <si>
    <t>NGGTB0730</t>
  </si>
  <si>
    <t>TMPN0730</t>
  </si>
  <si>
    <t>IDGT0730</t>
  </si>
  <si>
    <t>TCSSV0731</t>
  </si>
  <si>
    <t>VMGT0731</t>
  </si>
  <si>
    <t>TCSSVA0731</t>
  </si>
  <si>
    <t>FFSV0731</t>
  </si>
  <si>
    <t>NHM0731</t>
  </si>
  <si>
    <t>Teledos T2SV0731</t>
  </si>
  <si>
    <t>Notivos NVOS0731</t>
  </si>
  <si>
    <t>Deportivos DNC0731</t>
  </si>
  <si>
    <t>NGGTA0731</t>
  </si>
  <si>
    <t>Más que noticias MQN0730</t>
  </si>
  <si>
    <t>TCR0731</t>
  </si>
  <si>
    <t>HME0731</t>
  </si>
  <si>
    <t>ENSV0731</t>
  </si>
  <si>
    <t>N4SV0731</t>
  </si>
  <si>
    <t>NGGTB0731</t>
  </si>
  <si>
    <t>Este es el Salvador ESSV0718</t>
  </si>
  <si>
    <t>HSLA0718</t>
  </si>
  <si>
    <t>RESV0718</t>
  </si>
  <si>
    <t>HSLA0725</t>
  </si>
  <si>
    <t>Este es el Salvador ESSV0801</t>
  </si>
  <si>
    <t>Este es el Salvador ESSV0725</t>
  </si>
  <si>
    <t>Amanecer Tropical ATSV0725</t>
  </si>
  <si>
    <t>RESV0801</t>
  </si>
  <si>
    <t>HSLA0801</t>
  </si>
  <si>
    <t>El Noticiero ENSV0801</t>
  </si>
  <si>
    <t>HME0801</t>
  </si>
  <si>
    <t>IDGT0731</t>
  </si>
  <si>
    <t>MISAES0802</t>
  </si>
  <si>
    <t>El Noticiero ENSV0802</t>
  </si>
  <si>
    <t>NGGT0802</t>
  </si>
  <si>
    <t>Los secretos mejor guardados LSGT0718</t>
  </si>
  <si>
    <t xml:space="preserve"> Reencuentro RESV0725A</t>
  </si>
  <si>
    <t>Hola El Salvador USA HSLA0729</t>
  </si>
  <si>
    <t>INMIGRANTES INM201R</t>
  </si>
  <si>
    <t>Este es el Salvador ESSV0711</t>
  </si>
  <si>
    <t>INMIGRANTES INM202R</t>
  </si>
  <si>
    <t>Los secretos mejor guardados LSGT0725</t>
  </si>
  <si>
    <t>Amanecer Tropical ATSV0613</t>
  </si>
  <si>
    <t>IDGT0723</t>
  </si>
  <si>
    <t>INTER SANTA TECLA VS. C.D. ÁGUILA</t>
  </si>
  <si>
    <t>JORNADA 2</t>
  </si>
  <si>
    <t>FUSV0730</t>
  </si>
  <si>
    <t>C.D. INCA ARUBA VS. C.D. FAS</t>
  </si>
  <si>
    <t>JORNADA 3</t>
  </si>
  <si>
    <t>Hola El Salvador USA HSLA0801A</t>
  </si>
  <si>
    <t>FUSV0802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</si>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</sst>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name val="Calibri"/>
      <family val="2"/>
    </font>
    <font>
      <b/>
      <i/>
      <sz val="14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0000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10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49" fontId="7" fillId="18" borderId="1" xfId="0" applyNumberFormat="1" applyFont="1" applyFill="1" applyBorder="1" applyAlignment="1">
      <alignment horizontal="center" vertical="center" wrapText="1"/>
    </xf>
    <xf numFmtId="20" fontId="8" fillId="2" borderId="1" xfId="0" applyNumberFormat="1" applyFont="1" applyFill="1" applyBorder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20" fontId="9" fillId="0" borderId="20" xfId="0" applyNumberFormat="1" applyFont="1" applyBorder="1" applyAlignment="1">
      <alignment horizontal="center" vertical="center" wrapText="1"/>
    </xf>
    <xf numFmtId="20" fontId="10" fillId="0" borderId="2" xfId="0" applyNumberFormat="1" applyFont="1" applyBorder="1" applyAlignment="1">
      <alignment horizontal="center" vertical="center" wrapText="1"/>
    </xf>
    <xf numFmtId="20" fontId="10" fillId="0" borderId="4" xfId="0" applyNumberFormat="1" applyFont="1" applyBorder="1" applyAlignment="1">
      <alignment horizontal="center" vertical="center" wrapText="1"/>
    </xf>
    <xf numFmtId="20" fontId="10" fillId="0" borderId="5" xfId="0" applyNumberFormat="1" applyFont="1" applyBorder="1" applyAlignment="1">
      <alignment horizontal="center" vertical="center" wrapText="1"/>
    </xf>
    <xf numFmtId="20" fontId="10" fillId="0" borderId="9" xfId="0" applyNumberFormat="1" applyFont="1" applyBorder="1" applyAlignment="1">
      <alignment horizontal="center" vertical="center" wrapText="1"/>
    </xf>
    <xf numFmtId="20" fontId="10" fillId="0" borderId="13" xfId="0" applyNumberFormat="1" applyFont="1" applyBorder="1" applyAlignment="1">
      <alignment horizontal="center" vertical="center" wrapText="1"/>
    </xf>
    <xf numFmtId="20" fontId="10" fillId="0" borderId="11" xfId="0" applyNumberFormat="1" applyFont="1" applyBorder="1" applyAlignment="1">
      <alignment horizontal="center" vertical="center" wrapText="1"/>
    </xf>
    <xf numFmtId="20" fontId="10" fillId="0" borderId="10" xfId="0" applyNumberFormat="1" applyFont="1" applyBorder="1" applyAlignment="1">
      <alignment horizontal="center" vertical="center" wrapText="1"/>
    </xf>
    <xf numFmtId="20" fontId="10" fillId="12" borderId="10" xfId="0" applyNumberFormat="1" applyFont="1" applyFill="1" applyBorder="1" applyAlignment="1">
      <alignment horizontal="center" vertical="center" wrapText="1"/>
    </xf>
    <xf numFmtId="20" fontId="10" fillId="12" borderId="2" xfId="0" applyNumberFormat="1" applyFont="1" applyFill="1" applyBorder="1" applyAlignment="1">
      <alignment horizontal="center" vertical="center" wrapText="1"/>
    </xf>
    <xf numFmtId="20" fontId="10" fillId="12" borderId="4" xfId="0" applyNumberFormat="1" applyFont="1" applyFill="1" applyBorder="1" applyAlignment="1">
      <alignment horizontal="center" vertical="center" wrapText="1"/>
    </xf>
    <xf numFmtId="20" fontId="10" fillId="12" borderId="9" xfId="0" applyNumberFormat="1" applyFont="1" applyFill="1" applyBorder="1" applyAlignment="1">
      <alignment horizontal="center" vertical="center" wrapText="1"/>
    </xf>
    <xf numFmtId="20" fontId="10" fillId="12" borderId="15" xfId="0" applyNumberFormat="1" applyFont="1" applyFill="1" applyBorder="1" applyAlignment="1">
      <alignment horizontal="center" vertical="center" wrapText="1"/>
    </xf>
    <xf numFmtId="20" fontId="10" fillId="12" borderId="16" xfId="0" applyNumberFormat="1" applyFont="1" applyFill="1" applyBorder="1" applyAlignment="1">
      <alignment horizontal="center" vertical="center" wrapText="1"/>
    </xf>
    <xf numFmtId="20" fontId="10" fillId="12" borderId="17" xfId="0" applyNumberFormat="1" applyFont="1" applyFill="1" applyBorder="1" applyAlignment="1">
      <alignment horizontal="center" vertical="center" wrapText="1"/>
    </xf>
    <xf numFmtId="20" fontId="10" fillId="12" borderId="11" xfId="0" applyNumberFormat="1" applyFont="1" applyFill="1" applyBorder="1" applyAlignment="1">
      <alignment horizontal="center" vertical="center" wrapText="1"/>
    </xf>
    <xf numFmtId="20" fontId="10" fillId="0" borderId="16" xfId="0" applyNumberFormat="1" applyFont="1" applyBorder="1" applyAlignment="1">
      <alignment horizontal="center" vertical="center" wrapText="1"/>
    </xf>
    <xf numFmtId="20" fontId="10" fillId="0" borderId="15" xfId="0" applyNumberFormat="1" applyFont="1" applyBorder="1" applyAlignment="1">
      <alignment horizontal="center" vertical="center" wrapText="1"/>
    </xf>
    <xf numFmtId="20" fontId="9" fillId="4" borderId="20" xfId="0" applyNumberFormat="1" applyFont="1" applyFill="1" applyBorder="1" applyAlignment="1">
      <alignment horizontal="center" vertical="center" wrapText="1"/>
    </xf>
    <xf numFmtId="20" fontId="10" fillId="4" borderId="4" xfId="0" applyNumberFormat="1" applyFont="1" applyFill="1" applyBorder="1" applyAlignment="1">
      <alignment horizontal="center" vertical="center" wrapText="1"/>
    </xf>
    <xf numFmtId="20" fontId="10" fillId="4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2" fillId="15" borderId="8" xfId="0" applyFont="1" applyFill="1" applyBorder="1" applyAlignment="1">
      <alignment horizontal="center" wrapText="1"/>
    </xf>
    <xf numFmtId="0" fontId="12" fillId="15" borderId="1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wrapText="1"/>
    </xf>
    <xf numFmtId="0" fontId="13" fillId="15" borderId="5" xfId="0" applyFont="1" applyFill="1" applyBorder="1" applyAlignment="1">
      <alignment horizontal="center" wrapText="1"/>
    </xf>
    <xf numFmtId="0" fontId="12" fillId="10" borderId="12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wrapText="1"/>
    </xf>
    <xf numFmtId="0" fontId="12" fillId="10" borderId="3" xfId="0" applyFont="1" applyFill="1" applyBorder="1" applyAlignment="1">
      <alignment horizont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wrapText="1"/>
    </xf>
    <xf numFmtId="0" fontId="12" fillId="10" borderId="5" xfId="0" applyFont="1" applyFill="1" applyBorder="1" applyAlignment="1">
      <alignment horizontal="center" wrapText="1"/>
    </xf>
    <xf numFmtId="0" fontId="6" fillId="11" borderId="3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wrapText="1"/>
    </xf>
    <xf numFmtId="0" fontId="14" fillId="9" borderId="3" xfId="0" applyFont="1" applyFill="1" applyBorder="1" applyAlignment="1">
      <alignment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3" fillId="15" borderId="19" xfId="0" applyFont="1" applyFill="1" applyBorder="1" applyAlignment="1">
      <alignment horizontal="center" wrapText="1"/>
    </xf>
    <xf numFmtId="0" fontId="14" fillId="9" borderId="18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2" fillId="15" borderId="3" xfId="0" applyFont="1" applyFill="1" applyBorder="1" applyAlignment="1">
      <alignment horizontal="center" wrapText="1"/>
    </xf>
    <xf numFmtId="0" fontId="13" fillId="10" borderId="5" xfId="0" applyFont="1" applyFill="1" applyBorder="1" applyAlignment="1">
      <alignment horizontal="center" wrapText="1"/>
    </xf>
    <xf numFmtId="0" fontId="10" fillId="17" borderId="3" xfId="0" applyFont="1" applyFill="1" applyBorder="1" applyAlignment="1">
      <alignment horizontal="center" wrapText="1"/>
    </xf>
    <xf numFmtId="0" fontId="10" fillId="17" borderId="5" xfId="0" applyFont="1" applyFill="1" applyBorder="1" applyAlignment="1">
      <alignment horizontal="center" wrapText="1"/>
    </xf>
    <xf numFmtId="0" fontId="10" fillId="11" borderId="14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wrapText="1"/>
    </xf>
    <xf numFmtId="0" fontId="10" fillId="11" borderId="1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wrapText="1"/>
    </xf>
    <xf numFmtId="0" fontId="10" fillId="7" borderId="6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wrapText="1"/>
    </xf>
    <xf numFmtId="0" fontId="10" fillId="6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wrapText="1"/>
    </xf>
    <xf numFmtId="0" fontId="14" fillId="9" borderId="18" xfId="0" applyFont="1" applyFill="1" applyBorder="1" applyAlignment="1">
      <alignment horizontal="center" wrapText="1"/>
    </xf>
    <xf numFmtId="0" fontId="14" fillId="9" borderId="1" xfId="0" applyFont="1" applyFill="1" applyBorder="1" applyAlignment="1">
      <alignment horizontal="center" wrapText="1"/>
    </xf>
    <xf numFmtId="0" fontId="14" fillId="9" borderId="6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wrapText="1"/>
    </xf>
    <xf numFmtId="0" fontId="14" fillId="9" borderId="12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wrapText="1"/>
    </xf>
    <xf numFmtId="0" fontId="14" fillId="9" borderId="5" xfId="0" applyFont="1" applyFill="1" applyBorder="1" applyAlignment="1">
      <alignment horizontal="center" wrapText="1"/>
    </xf>
    <xf numFmtId="0" fontId="13" fillId="15" borderId="18" xfId="0" applyFont="1" applyFill="1" applyBorder="1" applyAlignment="1">
      <alignment horizontal="center" wrapText="1"/>
    </xf>
    <xf numFmtId="0" fontId="13" fillId="15" borderId="5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wrapText="1"/>
    </xf>
    <xf numFmtId="0" fontId="12" fillId="15" borderId="5" xfId="0" applyFont="1" applyFill="1" applyBorder="1" applyAlignment="1">
      <alignment horizontal="center" wrapText="1"/>
    </xf>
    <xf numFmtId="0" fontId="12" fillId="15" borderId="12" xfId="0" applyFont="1" applyFill="1" applyBorder="1" applyAlignment="1">
      <alignment horizontal="center" wrapText="1"/>
    </xf>
    <xf numFmtId="0" fontId="13" fillId="15" borderId="6" xfId="0" applyFont="1" applyFill="1" applyBorder="1" applyAlignment="1">
      <alignment horizont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</cellXfs>
  <cellStyles count="31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Normal" xfId="0" builtinId="0"/>
    <cellStyle name="Normal 2" xfId="315" xr:uid="{00000000-0005-0000-0000-00003B010000}"/>
  </cellStyles>
  <dxfs count="0"/>
  <tableStyles count="0" defaultTableStyle="TableStyleMedium9" defaultPivotStyle="PivotStyleLight16"/>
  <colors>
    <mruColors>
      <color rgb="FFD9D9D9"/>
      <color rgb="FF00B0F0"/>
      <color rgb="FFFFFF99"/>
      <color rgb="FFE6B8B7"/>
      <color rgb="FF99CCFF"/>
      <color rgb="FFFFFFFF"/>
      <color rgb="FFC5D9F1"/>
      <color rgb="FFB8CCE4"/>
      <color rgb="FF33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1"/>
  <sheetViews>
    <sheetView tabSelected="1" zoomScale="70" zoomScaleNormal="70" workbookViewId="0">
      <selection activeCell="H19" sqref="H19"/>
    </sheetView>
  </sheetViews>
  <sheetFormatPr defaultColWidth="8.7109375" defaultRowHeight="15.75" x14ac:dyDescent="0.25"/>
  <cols>
    <col min="1" max="2" width="7.7109375" style="2" customWidth="1"/>
    <col min="3" max="9" width="37.7109375" style="2" customWidth="1"/>
    <col min="10" max="11" width="7.7109375" style="2" customWidth="1"/>
    <col min="12" max="16384" width="8.7109375" style="2"/>
  </cols>
  <sheetData>
    <row r="1" spans="1:11" s="1" customFormat="1" ht="35.1" customHeight="1" thickBot="1" x14ac:dyDescent="0.3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s="1" customFormat="1" ht="35.1" customHeight="1" thickBot="1" x14ac:dyDescent="0.3">
      <c r="A2" s="4" t="s">
        <v>132</v>
      </c>
      <c r="B2" s="5" t="s">
        <v>0</v>
      </c>
      <c r="C2" s="6">
        <v>46230</v>
      </c>
      <c r="D2" s="6">
        <f>C2+1</f>
        <v>46231</v>
      </c>
      <c r="E2" s="6">
        <f>C2+2</f>
        <v>46232</v>
      </c>
      <c r="F2" s="6">
        <f>C2+3</f>
        <v>46233</v>
      </c>
      <c r="G2" s="6">
        <f>C2+4</f>
        <v>46234</v>
      </c>
      <c r="H2" s="6">
        <f>C2+5</f>
        <v>46235</v>
      </c>
      <c r="I2" s="6">
        <f>C2+6</f>
        <v>46236</v>
      </c>
      <c r="J2" s="5" t="s">
        <v>0</v>
      </c>
      <c r="K2" s="4" t="s">
        <v>132</v>
      </c>
    </row>
    <row r="3" spans="1:11" ht="24.95" customHeight="1" thickBot="1" x14ac:dyDescent="0.35">
      <c r="A3" s="7">
        <v>0.41666666666666669</v>
      </c>
      <c r="B3" s="8">
        <v>0.250000000000001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2" t="s">
        <v>101</v>
      </c>
      <c r="I3" s="33" t="s">
        <v>122</v>
      </c>
      <c r="J3" s="8">
        <v>0.250000000000001</v>
      </c>
      <c r="K3" s="7">
        <v>0.41666666666666669</v>
      </c>
    </row>
    <row r="4" spans="1:11" ht="24.95" customHeight="1" thickBot="1" x14ac:dyDescent="0.35">
      <c r="A4" s="7">
        <v>0.4375</v>
      </c>
      <c r="B4" s="9">
        <v>0.27083333333333398</v>
      </c>
      <c r="C4" s="34" t="s">
        <v>17</v>
      </c>
      <c r="D4" s="34" t="s">
        <v>34</v>
      </c>
      <c r="E4" s="34" t="s">
        <v>51</v>
      </c>
      <c r="F4" s="34" t="s">
        <v>68</v>
      </c>
      <c r="G4" s="34" t="s">
        <v>84</v>
      </c>
      <c r="H4" s="35" t="s">
        <v>123</v>
      </c>
      <c r="I4" s="36" t="s">
        <v>107</v>
      </c>
      <c r="J4" s="9">
        <v>0.27083333333333398</v>
      </c>
      <c r="K4" s="7">
        <v>0.4375</v>
      </c>
    </row>
    <row r="5" spans="1:11" ht="24.95" customHeight="1" x14ac:dyDescent="0.3">
      <c r="A5" s="7">
        <v>0.45833333333333331</v>
      </c>
      <c r="B5" s="8">
        <v>0.29166666666666702</v>
      </c>
      <c r="C5" s="37" t="s">
        <v>15</v>
      </c>
      <c r="D5" s="37" t="s">
        <v>15</v>
      </c>
      <c r="E5" s="37" t="s">
        <v>15</v>
      </c>
      <c r="F5" s="37" t="s">
        <v>15</v>
      </c>
      <c r="G5" s="37" t="s">
        <v>15</v>
      </c>
      <c r="H5" s="38" t="s">
        <v>5</v>
      </c>
      <c r="I5" s="39" t="s">
        <v>13</v>
      </c>
      <c r="J5" s="8">
        <v>0.29166666666666702</v>
      </c>
      <c r="K5" s="7">
        <v>0.45833333333333331</v>
      </c>
    </row>
    <row r="6" spans="1:11" ht="24.95" customHeight="1" thickBot="1" x14ac:dyDescent="0.35">
      <c r="A6" s="7">
        <v>0.47916666666666669</v>
      </c>
      <c r="B6" s="9">
        <v>0.3125</v>
      </c>
      <c r="C6" s="40" t="s">
        <v>124</v>
      </c>
      <c r="D6" s="40" t="s">
        <v>18</v>
      </c>
      <c r="E6" s="40" t="s">
        <v>35</v>
      </c>
      <c r="F6" s="40" t="s">
        <v>52</v>
      </c>
      <c r="G6" s="40" t="s">
        <v>69</v>
      </c>
      <c r="H6" s="41" t="s">
        <v>99</v>
      </c>
      <c r="I6" s="42" t="s">
        <v>111</v>
      </c>
      <c r="J6" s="9">
        <v>0.3125</v>
      </c>
      <c r="K6" s="7">
        <v>0.47916666666666669</v>
      </c>
    </row>
    <row r="7" spans="1:11" ht="24.95" customHeight="1" x14ac:dyDescent="0.25">
      <c r="A7" s="7">
        <v>0.5</v>
      </c>
      <c r="B7" s="8">
        <v>0.33333333333333331</v>
      </c>
      <c r="C7" s="43" t="s">
        <v>4</v>
      </c>
      <c r="D7" s="43" t="s">
        <v>4</v>
      </c>
      <c r="E7" s="43" t="s">
        <v>4</v>
      </c>
      <c r="F7" s="43" t="s">
        <v>4</v>
      </c>
      <c r="G7" s="43" t="s">
        <v>4</v>
      </c>
      <c r="H7" s="44" t="s">
        <v>15</v>
      </c>
      <c r="I7" s="44" t="s">
        <v>15</v>
      </c>
      <c r="J7" s="8">
        <v>0.33333333333333331</v>
      </c>
      <c r="K7" s="7">
        <v>0.5</v>
      </c>
    </row>
    <row r="8" spans="1:11" ht="24.95" customHeight="1" thickBot="1" x14ac:dyDescent="0.3">
      <c r="A8" s="7">
        <v>0.52083333333333337</v>
      </c>
      <c r="B8" s="10">
        <v>0.35416666666666669</v>
      </c>
      <c r="C8" s="45" t="s">
        <v>19</v>
      </c>
      <c r="D8" s="45" t="s">
        <v>36</v>
      </c>
      <c r="E8" s="45" t="s">
        <v>53</v>
      </c>
      <c r="F8" s="45" t="s">
        <v>70</v>
      </c>
      <c r="G8" s="45" t="s">
        <v>86</v>
      </c>
      <c r="H8" s="46" t="s">
        <v>85</v>
      </c>
      <c r="I8" s="46" t="s">
        <v>112</v>
      </c>
      <c r="J8" s="10">
        <v>0.35416666666666669</v>
      </c>
      <c r="K8" s="7">
        <v>0.52083333333333337</v>
      </c>
    </row>
    <row r="9" spans="1:11" ht="24.95" customHeight="1" thickBot="1" x14ac:dyDescent="0.35">
      <c r="A9" s="7">
        <v>0.54166666666666663</v>
      </c>
      <c r="B9" s="11">
        <v>0.374999999999997</v>
      </c>
      <c r="C9" s="47"/>
      <c r="D9" s="47"/>
      <c r="E9" s="47"/>
      <c r="F9" s="47"/>
      <c r="G9" s="47"/>
      <c r="H9" s="48" t="s">
        <v>119</v>
      </c>
      <c r="I9" s="49" t="s">
        <v>11</v>
      </c>
      <c r="J9" s="11">
        <v>0.374999999999997</v>
      </c>
      <c r="K9" s="7">
        <v>0.54166666666666663</v>
      </c>
    </row>
    <row r="10" spans="1:11" ht="24.95" customHeight="1" thickBot="1" x14ac:dyDescent="0.35">
      <c r="A10" s="7">
        <v>0.5625</v>
      </c>
      <c r="B10" s="9">
        <v>0.39583333333332998</v>
      </c>
      <c r="C10" s="50"/>
      <c r="D10" s="50"/>
      <c r="E10" s="50"/>
      <c r="F10" s="50"/>
      <c r="G10" s="50"/>
      <c r="H10" s="51" t="s">
        <v>9</v>
      </c>
      <c r="I10" s="52" t="s">
        <v>108</v>
      </c>
      <c r="J10" s="9">
        <v>0.39583333333332998</v>
      </c>
      <c r="K10" s="7">
        <v>0.5625</v>
      </c>
    </row>
    <row r="11" spans="1:11" ht="24.95" customHeight="1" thickBot="1" x14ac:dyDescent="0.35">
      <c r="A11" s="7">
        <v>0.58333333333333337</v>
      </c>
      <c r="B11" s="11">
        <v>0.41666666666666302</v>
      </c>
      <c r="C11" s="53" t="s">
        <v>9</v>
      </c>
      <c r="D11" s="53" t="s">
        <v>9</v>
      </c>
      <c r="E11" s="53" t="s">
        <v>9</v>
      </c>
      <c r="F11" s="53" t="s">
        <v>9</v>
      </c>
      <c r="G11" s="53" t="s">
        <v>9</v>
      </c>
      <c r="H11" s="54" t="s">
        <v>87</v>
      </c>
      <c r="I11" s="33" t="s">
        <v>105</v>
      </c>
      <c r="J11" s="11">
        <v>0.41666666666666302</v>
      </c>
      <c r="K11" s="7">
        <v>0.58333333333333337</v>
      </c>
    </row>
    <row r="12" spans="1:11" ht="24.95" customHeight="1" thickBot="1" x14ac:dyDescent="0.35">
      <c r="A12" s="7">
        <v>0.60416666666666663</v>
      </c>
      <c r="B12" s="9">
        <v>0.437499999999996</v>
      </c>
      <c r="C12" s="55" t="s">
        <v>20</v>
      </c>
      <c r="D12" s="55" t="s">
        <v>37</v>
      </c>
      <c r="E12" s="55" t="s">
        <v>54</v>
      </c>
      <c r="F12" s="55" t="s">
        <v>71</v>
      </c>
      <c r="G12" s="55" t="s">
        <v>87</v>
      </c>
      <c r="H12" s="56"/>
      <c r="I12" s="33" t="s">
        <v>106</v>
      </c>
      <c r="J12" s="9">
        <v>0.437499999999996</v>
      </c>
      <c r="K12" s="7">
        <v>0.60416666666666663</v>
      </c>
    </row>
    <row r="13" spans="1:11" ht="24.95" customHeight="1" thickBot="1" x14ac:dyDescent="0.35">
      <c r="A13" s="7">
        <v>0.625</v>
      </c>
      <c r="B13" s="11">
        <v>0.45833333333332898</v>
      </c>
      <c r="C13" s="57"/>
      <c r="D13" s="57"/>
      <c r="E13" s="57"/>
      <c r="F13" s="57"/>
      <c r="G13" s="57"/>
      <c r="H13" s="58" t="s">
        <v>6</v>
      </c>
      <c r="I13" s="39" t="s">
        <v>6</v>
      </c>
      <c r="J13" s="11">
        <v>0.45833333333332898</v>
      </c>
      <c r="K13" s="7">
        <v>0.625</v>
      </c>
    </row>
    <row r="14" spans="1:11" ht="24.95" customHeight="1" thickBot="1" x14ac:dyDescent="0.35">
      <c r="A14" s="7">
        <v>0.64583333333333337</v>
      </c>
      <c r="B14" s="9">
        <v>0.47916666666666669</v>
      </c>
      <c r="C14" s="57"/>
      <c r="D14" s="57"/>
      <c r="E14" s="57"/>
      <c r="F14" s="57"/>
      <c r="G14" s="57"/>
      <c r="H14" s="36" t="s">
        <v>102</v>
      </c>
      <c r="I14" s="59" t="s">
        <v>109</v>
      </c>
      <c r="J14" s="9">
        <v>0.47916666666666669</v>
      </c>
      <c r="K14" s="7">
        <v>0.64583333333333337</v>
      </c>
    </row>
    <row r="15" spans="1:11" ht="24.95" customHeight="1" x14ac:dyDescent="0.3">
      <c r="A15" s="7">
        <v>0.66666666666666663</v>
      </c>
      <c r="B15" s="12">
        <v>0.499999999999995</v>
      </c>
      <c r="C15" s="44" t="str">
        <f>C7</f>
        <v xml:space="preserve">TCS Noticias </v>
      </c>
      <c r="D15" s="44" t="str">
        <f t="shared" ref="D15:G15" si="0">D7</f>
        <v xml:space="preserve">TCS Noticias </v>
      </c>
      <c r="E15" s="44" t="str">
        <f t="shared" si="0"/>
        <v xml:space="preserve">TCS Noticias </v>
      </c>
      <c r="F15" s="44" t="str">
        <f t="shared" si="0"/>
        <v xml:space="preserve">TCS Noticias </v>
      </c>
      <c r="G15" s="44" t="str">
        <f t="shared" si="0"/>
        <v xml:space="preserve">TCS Noticias </v>
      </c>
      <c r="H15" s="49" t="s">
        <v>11</v>
      </c>
      <c r="I15" s="60" t="s">
        <v>14</v>
      </c>
      <c r="J15" s="12">
        <v>0.499999999999995</v>
      </c>
      <c r="K15" s="7">
        <v>0.66666666666666663</v>
      </c>
    </row>
    <row r="16" spans="1:11" ht="24.95" customHeight="1" thickBot="1" x14ac:dyDescent="0.35">
      <c r="A16" s="7">
        <v>0.6875</v>
      </c>
      <c r="B16" s="13">
        <v>0.52083333333332804</v>
      </c>
      <c r="C16" s="40" t="s">
        <v>21</v>
      </c>
      <c r="D16" s="40" t="s">
        <v>38</v>
      </c>
      <c r="E16" s="40" t="s">
        <v>55</v>
      </c>
      <c r="F16" s="40" t="s">
        <v>72</v>
      </c>
      <c r="G16" s="40" t="s">
        <v>88</v>
      </c>
      <c r="H16" s="36" t="s">
        <v>103</v>
      </c>
      <c r="I16" s="61" t="s">
        <v>113</v>
      </c>
      <c r="J16" s="13">
        <v>0.52083333333332804</v>
      </c>
      <c r="K16" s="7">
        <v>0.6875</v>
      </c>
    </row>
    <row r="17" spans="1:11" ht="24.95" customHeight="1" thickBot="1" x14ac:dyDescent="0.3">
      <c r="A17" s="7">
        <v>0.70833333333333337</v>
      </c>
      <c r="B17" s="12">
        <v>0.54166666666666097</v>
      </c>
      <c r="C17" s="62" t="s">
        <v>10</v>
      </c>
      <c r="D17" s="62" t="s">
        <v>10</v>
      </c>
      <c r="E17" s="62" t="s">
        <v>10</v>
      </c>
      <c r="F17" s="62" t="s">
        <v>10</v>
      </c>
      <c r="G17" s="62" t="s">
        <v>10</v>
      </c>
      <c r="H17" s="48" t="s">
        <v>119</v>
      </c>
      <c r="I17" s="48" t="s">
        <v>121</v>
      </c>
      <c r="J17" s="12">
        <v>0.54166666666666097</v>
      </c>
      <c r="K17" s="7">
        <v>0.70833333333333337</v>
      </c>
    </row>
    <row r="18" spans="1:11" ht="24.95" customHeight="1" thickBot="1" x14ac:dyDescent="0.35">
      <c r="A18" s="7">
        <v>0.72916666666666663</v>
      </c>
      <c r="B18" s="13">
        <v>0.562499999999994</v>
      </c>
      <c r="C18" s="63" t="s">
        <v>22</v>
      </c>
      <c r="D18" s="63" t="s">
        <v>39</v>
      </c>
      <c r="E18" s="63" t="s">
        <v>56</v>
      </c>
      <c r="F18" s="63" t="s">
        <v>73</v>
      </c>
      <c r="G18" s="63" t="s">
        <v>89</v>
      </c>
      <c r="H18" s="58" t="s">
        <v>6</v>
      </c>
      <c r="I18" s="58" t="s">
        <v>6</v>
      </c>
      <c r="J18" s="13">
        <v>0.562499999999994</v>
      </c>
      <c r="K18" s="7">
        <v>0.72916666666666663</v>
      </c>
    </row>
    <row r="19" spans="1:11" ht="24.95" customHeight="1" thickBot="1" x14ac:dyDescent="0.35">
      <c r="A19" s="7">
        <v>0.75</v>
      </c>
      <c r="B19" s="14">
        <v>0.58333333333332704</v>
      </c>
      <c r="C19" s="64" t="s">
        <v>12</v>
      </c>
      <c r="D19" s="64" t="s">
        <v>12</v>
      </c>
      <c r="E19" s="64" t="s">
        <v>12</v>
      </c>
      <c r="F19" s="64" t="s">
        <v>12</v>
      </c>
      <c r="G19" s="64" t="s">
        <v>12</v>
      </c>
      <c r="H19" s="36" t="s">
        <v>104</v>
      </c>
      <c r="I19" s="36" t="s">
        <v>109</v>
      </c>
      <c r="J19" s="14">
        <v>0.58333333333332704</v>
      </c>
      <c r="K19" s="7">
        <v>0.75</v>
      </c>
    </row>
    <row r="20" spans="1:11" ht="24.95" customHeight="1" thickBot="1" x14ac:dyDescent="0.35">
      <c r="A20" s="7">
        <v>0.77083333333333337</v>
      </c>
      <c r="B20" s="13">
        <v>0.60416666666665997</v>
      </c>
      <c r="C20" s="65" t="s">
        <v>23</v>
      </c>
      <c r="D20" s="65" t="s">
        <v>40</v>
      </c>
      <c r="E20" s="65" t="s">
        <v>57</v>
      </c>
      <c r="F20" s="65" t="s">
        <v>74</v>
      </c>
      <c r="G20" s="65" t="s">
        <v>90</v>
      </c>
      <c r="H20" s="35" t="s">
        <v>123</v>
      </c>
      <c r="I20" s="49" t="s">
        <v>11</v>
      </c>
      <c r="J20" s="13">
        <v>0.60416666666665997</v>
      </c>
      <c r="K20" s="7">
        <v>0.77083333333333337</v>
      </c>
    </row>
    <row r="21" spans="1:11" ht="24.95" customHeight="1" thickBot="1" x14ac:dyDescent="0.35">
      <c r="A21" s="7">
        <v>0.79166666666666663</v>
      </c>
      <c r="B21" s="11">
        <v>0.625</v>
      </c>
      <c r="C21" s="66" t="s">
        <v>24</v>
      </c>
      <c r="D21" s="66" t="s">
        <v>41</v>
      </c>
      <c r="E21" s="66" t="s">
        <v>58</v>
      </c>
      <c r="F21" s="66" t="s">
        <v>75</v>
      </c>
      <c r="G21" s="66" t="s">
        <v>91</v>
      </c>
      <c r="H21" s="48" t="s">
        <v>119</v>
      </c>
      <c r="I21" s="36" t="s">
        <v>108</v>
      </c>
      <c r="J21" s="11">
        <v>0.625</v>
      </c>
      <c r="K21" s="7">
        <v>0.79166666666666663</v>
      </c>
    </row>
    <row r="22" spans="1:11" ht="24.95" customHeight="1" thickBot="1" x14ac:dyDescent="0.35">
      <c r="A22" s="7">
        <v>0.8125</v>
      </c>
      <c r="B22" s="13">
        <v>0.64583333333332604</v>
      </c>
      <c r="C22" s="67" t="s">
        <v>25</v>
      </c>
      <c r="D22" s="67" t="s">
        <v>42</v>
      </c>
      <c r="E22" s="67" t="s">
        <v>59</v>
      </c>
      <c r="F22" s="67" t="s">
        <v>76</v>
      </c>
      <c r="G22" s="67" t="s">
        <v>92</v>
      </c>
      <c r="H22" s="68" t="s">
        <v>122</v>
      </c>
      <c r="I22" s="69"/>
      <c r="J22" s="13">
        <v>0.64583333333332604</v>
      </c>
      <c r="K22" s="7">
        <v>0.8125</v>
      </c>
    </row>
    <row r="23" spans="1:11" ht="24.95" customHeight="1" thickBot="1" x14ac:dyDescent="0.35">
      <c r="A23" s="7">
        <v>0.83333333333333337</v>
      </c>
      <c r="B23" s="15">
        <v>0.66666666666666663</v>
      </c>
      <c r="C23" s="67" t="s">
        <v>26</v>
      </c>
      <c r="D23" s="67" t="s">
        <v>43</v>
      </c>
      <c r="E23" s="67" t="s">
        <v>60</v>
      </c>
      <c r="F23" s="67" t="s">
        <v>77</v>
      </c>
      <c r="G23" s="67" t="s">
        <v>93</v>
      </c>
      <c r="H23" s="70" t="s">
        <v>105</v>
      </c>
      <c r="I23" s="36" t="s">
        <v>107</v>
      </c>
      <c r="J23" s="16">
        <v>0.66666666666665897</v>
      </c>
      <c r="K23" s="7">
        <v>0.83333333333333337</v>
      </c>
    </row>
    <row r="24" spans="1:11" ht="24.95" customHeight="1" thickBot="1" x14ac:dyDescent="0.35">
      <c r="A24" s="7">
        <v>0.85416666666666663</v>
      </c>
      <c r="B24" s="17">
        <v>0.6875</v>
      </c>
      <c r="C24" s="71" t="s">
        <v>116</v>
      </c>
      <c r="D24" s="72" t="s">
        <v>117</v>
      </c>
      <c r="E24" s="73" t="s">
        <v>118</v>
      </c>
      <c r="F24" s="48" t="s">
        <v>119</v>
      </c>
      <c r="G24" s="74" t="s">
        <v>120</v>
      </c>
      <c r="H24" s="33" t="s">
        <v>106</v>
      </c>
      <c r="I24" s="32" t="s">
        <v>105</v>
      </c>
      <c r="J24" s="17">
        <v>0.6875</v>
      </c>
      <c r="K24" s="7">
        <v>0.85416666666666663</v>
      </c>
    </row>
    <row r="25" spans="1:11" ht="24.95" customHeight="1" thickBot="1" x14ac:dyDescent="0.35">
      <c r="A25" s="7">
        <v>0.875</v>
      </c>
      <c r="B25" s="18">
        <v>0.70833333333332504</v>
      </c>
      <c r="C25" s="75" t="s">
        <v>1</v>
      </c>
      <c r="D25" s="75" t="s">
        <v>1</v>
      </c>
      <c r="E25" s="75" t="s">
        <v>1</v>
      </c>
      <c r="F25" s="75" t="s">
        <v>1</v>
      </c>
      <c r="G25" s="75" t="s">
        <v>1</v>
      </c>
      <c r="H25" s="70" t="s">
        <v>107</v>
      </c>
      <c r="I25" s="76" t="s">
        <v>11</v>
      </c>
      <c r="J25" s="19">
        <v>0.70833333333332504</v>
      </c>
      <c r="K25" s="7">
        <v>0.875</v>
      </c>
    </row>
    <row r="26" spans="1:11" ht="24.95" customHeight="1" thickBot="1" x14ac:dyDescent="0.35">
      <c r="A26" s="7">
        <v>0.89583333333333337</v>
      </c>
      <c r="B26" s="17">
        <v>0.72916666666665797</v>
      </c>
      <c r="C26" s="77" t="s">
        <v>27</v>
      </c>
      <c r="D26" s="77" t="s">
        <v>44</v>
      </c>
      <c r="E26" s="77" t="s">
        <v>61</v>
      </c>
      <c r="F26" s="77" t="s">
        <v>78</v>
      </c>
      <c r="G26" s="77" t="s">
        <v>94</v>
      </c>
      <c r="H26" s="35" t="s">
        <v>123</v>
      </c>
      <c r="I26" s="36" t="s">
        <v>108</v>
      </c>
      <c r="J26" s="20">
        <v>0.72916666666666663</v>
      </c>
      <c r="K26" s="7">
        <v>0.89583333333333337</v>
      </c>
    </row>
    <row r="27" spans="1:11" ht="24.95" customHeight="1" thickBot="1" x14ac:dyDescent="0.35">
      <c r="A27" s="7">
        <v>0.91666666666666663</v>
      </c>
      <c r="B27" s="15">
        <v>0.75</v>
      </c>
      <c r="C27" s="74" t="str">
        <f>C21</f>
        <v>Teledos T2SV0727</v>
      </c>
      <c r="D27" s="74" t="str">
        <f t="shared" ref="D27:G27" si="1">D21</f>
        <v>Teledos T2SV0728</v>
      </c>
      <c r="E27" s="74" t="str">
        <f t="shared" si="1"/>
        <v>Teledos T2SV0729</v>
      </c>
      <c r="F27" s="74" t="str">
        <f t="shared" si="1"/>
        <v>Teledos T2SV0730</v>
      </c>
      <c r="G27" s="74" t="str">
        <f t="shared" si="1"/>
        <v>Teledos T2SV0731</v>
      </c>
      <c r="H27" s="78" t="s">
        <v>11</v>
      </c>
      <c r="I27" s="33" t="s">
        <v>105</v>
      </c>
      <c r="J27" s="21">
        <v>0.75</v>
      </c>
      <c r="K27" s="7">
        <v>0.91666666666666663</v>
      </c>
    </row>
    <row r="28" spans="1:11" ht="24.95" customHeight="1" thickBot="1" x14ac:dyDescent="0.35">
      <c r="A28" s="7">
        <v>0.9375</v>
      </c>
      <c r="B28" s="22">
        <v>0.77083333333332404</v>
      </c>
      <c r="C28" s="79" t="s">
        <v>28</v>
      </c>
      <c r="D28" s="79" t="s">
        <v>45</v>
      </c>
      <c r="E28" s="79" t="s">
        <v>62</v>
      </c>
      <c r="F28" s="79" t="s">
        <v>79</v>
      </c>
      <c r="G28" s="79" t="s">
        <v>95</v>
      </c>
      <c r="H28" s="80" t="s">
        <v>108</v>
      </c>
      <c r="I28" s="48" t="s">
        <v>121</v>
      </c>
      <c r="J28" s="20">
        <v>0.77083333333333337</v>
      </c>
      <c r="K28" s="7">
        <v>0.9375</v>
      </c>
    </row>
    <row r="29" spans="1:11" ht="24.95" customHeight="1" thickBot="1" x14ac:dyDescent="0.35">
      <c r="A29" s="7">
        <v>0.95833333333333337</v>
      </c>
      <c r="B29" s="12">
        <v>0.79166666666666663</v>
      </c>
      <c r="C29" s="81" t="s">
        <v>7</v>
      </c>
      <c r="D29" s="81" t="s">
        <v>7</v>
      </c>
      <c r="E29" s="81" t="s">
        <v>7</v>
      </c>
      <c r="F29" s="81" t="s">
        <v>7</v>
      </c>
      <c r="G29" s="81" t="s">
        <v>7</v>
      </c>
      <c r="H29" s="82" t="s">
        <v>6</v>
      </c>
      <c r="I29" s="58" t="s">
        <v>130</v>
      </c>
      <c r="J29" s="19">
        <v>0.79166666666666663</v>
      </c>
      <c r="K29" s="7">
        <v>0.95833333333333337</v>
      </c>
    </row>
    <row r="30" spans="1:11" ht="24.95" customHeight="1" thickBot="1" x14ac:dyDescent="0.35">
      <c r="A30" s="7">
        <v>0.97916666666666663</v>
      </c>
      <c r="B30" s="13">
        <v>0.8125</v>
      </c>
      <c r="C30" s="83" t="s">
        <v>29</v>
      </c>
      <c r="D30" s="83" t="s">
        <v>46</v>
      </c>
      <c r="E30" s="83" t="s">
        <v>63</v>
      </c>
      <c r="F30" s="83" t="s">
        <v>80</v>
      </c>
      <c r="G30" s="83" t="s">
        <v>96</v>
      </c>
      <c r="H30" s="80" t="s">
        <v>109</v>
      </c>
      <c r="I30" s="84"/>
      <c r="J30" s="23">
        <v>0.81249999999999001</v>
      </c>
      <c r="K30" s="7">
        <v>0.97916666666666663</v>
      </c>
    </row>
    <row r="31" spans="1:11" ht="24.95" customHeight="1" thickBot="1" x14ac:dyDescent="0.35">
      <c r="A31" s="7">
        <v>0</v>
      </c>
      <c r="B31" s="12">
        <v>0.83333333333333337</v>
      </c>
      <c r="C31" s="75" t="s">
        <v>15</v>
      </c>
      <c r="D31" s="75" t="s">
        <v>15</v>
      </c>
      <c r="E31" s="75" t="s">
        <v>15</v>
      </c>
      <c r="F31" s="75" t="s">
        <v>15</v>
      </c>
      <c r="G31" s="75" t="s">
        <v>15</v>
      </c>
      <c r="H31" s="48" t="s">
        <v>119</v>
      </c>
      <c r="I31" s="85" t="s">
        <v>128</v>
      </c>
      <c r="J31" s="24">
        <v>0.83333333333333337</v>
      </c>
      <c r="K31" s="7">
        <v>0</v>
      </c>
    </row>
    <row r="32" spans="1:11" ht="24.95" customHeight="1" thickBot="1" x14ac:dyDescent="0.35">
      <c r="A32" s="7">
        <v>2.0833333333333332E-2</v>
      </c>
      <c r="B32" s="13">
        <v>0.85416666666665597</v>
      </c>
      <c r="C32" s="77" t="s">
        <v>18</v>
      </c>
      <c r="D32" s="77" t="s">
        <v>35</v>
      </c>
      <c r="E32" s="77" t="s">
        <v>52</v>
      </c>
      <c r="F32" s="77" t="s">
        <v>69</v>
      </c>
      <c r="G32" s="77" t="s">
        <v>85</v>
      </c>
      <c r="H32" s="33" t="s">
        <v>105</v>
      </c>
      <c r="I32" s="85" t="s">
        <v>131</v>
      </c>
      <c r="J32" s="23">
        <v>0.85416666666665597</v>
      </c>
      <c r="K32" s="7">
        <v>2.0833333333333332E-2</v>
      </c>
    </row>
    <row r="33" spans="1:11" ht="24.95" customHeight="1" thickBot="1" x14ac:dyDescent="0.35">
      <c r="A33" s="7">
        <v>4.1666666666666664E-2</v>
      </c>
      <c r="B33" s="11">
        <v>0.875</v>
      </c>
      <c r="C33" s="66" t="s">
        <v>8</v>
      </c>
      <c r="D33" s="66" t="s">
        <v>8</v>
      </c>
      <c r="E33" s="66" t="s">
        <v>8</v>
      </c>
      <c r="F33" s="66" t="s">
        <v>8</v>
      </c>
      <c r="G33" s="66" t="s">
        <v>8</v>
      </c>
      <c r="H33" s="86" t="s">
        <v>110</v>
      </c>
      <c r="I33" s="55" t="s">
        <v>129</v>
      </c>
      <c r="J33" s="24">
        <v>0.875</v>
      </c>
      <c r="K33" s="7">
        <v>4.1666666666666664E-2</v>
      </c>
    </row>
    <row r="34" spans="1:11" ht="24.95" customHeight="1" thickBot="1" x14ac:dyDescent="0.35">
      <c r="A34" s="7">
        <v>6.25E-2</v>
      </c>
      <c r="B34" s="9">
        <v>0.89583333333332205</v>
      </c>
      <c r="C34" s="87" t="s">
        <v>30</v>
      </c>
      <c r="D34" s="87" t="s">
        <v>47</v>
      </c>
      <c r="E34" s="87" t="s">
        <v>64</v>
      </c>
      <c r="F34" s="87" t="s">
        <v>81</v>
      </c>
      <c r="G34" s="87" t="s">
        <v>97</v>
      </c>
      <c r="H34" s="88" t="s">
        <v>13</v>
      </c>
      <c r="I34" s="70" t="s">
        <v>114</v>
      </c>
      <c r="J34" s="23">
        <v>0.89583333333332205</v>
      </c>
      <c r="K34" s="7">
        <v>6.25E-2</v>
      </c>
    </row>
    <row r="35" spans="1:11" ht="24.95" customHeight="1" thickBot="1" x14ac:dyDescent="0.35">
      <c r="A35" s="7">
        <v>8.3333333333333329E-2</v>
      </c>
      <c r="B35" s="11">
        <v>0.91666666666666663</v>
      </c>
      <c r="C35" s="89" t="s">
        <v>3</v>
      </c>
      <c r="D35" s="89" t="s">
        <v>3</v>
      </c>
      <c r="E35" s="89" t="s">
        <v>3</v>
      </c>
      <c r="F35" s="84"/>
      <c r="G35" s="89" t="s">
        <v>3</v>
      </c>
      <c r="H35" s="90" t="s">
        <v>111</v>
      </c>
      <c r="I35" s="84" t="s">
        <v>1</v>
      </c>
      <c r="J35" s="24">
        <v>0.91666666666666663</v>
      </c>
      <c r="K35" s="7">
        <v>8.3333333333333329E-2</v>
      </c>
    </row>
    <row r="36" spans="1:11" ht="24.95" customHeight="1" thickBot="1" x14ac:dyDescent="0.35">
      <c r="A36" s="7">
        <v>0.10416666666666667</v>
      </c>
      <c r="B36" s="9">
        <v>0.93749999999998701</v>
      </c>
      <c r="C36" s="87" t="s">
        <v>31</v>
      </c>
      <c r="D36" s="87" t="s">
        <v>48</v>
      </c>
      <c r="E36" s="87" t="s">
        <v>65</v>
      </c>
      <c r="F36" s="85" t="s">
        <v>125</v>
      </c>
      <c r="G36" s="87" t="s">
        <v>98</v>
      </c>
      <c r="H36" s="35" t="s">
        <v>105</v>
      </c>
      <c r="I36" s="91" t="s">
        <v>115</v>
      </c>
      <c r="J36" s="23">
        <v>0.9375</v>
      </c>
      <c r="K36" s="7">
        <v>0.10416666666666667</v>
      </c>
    </row>
    <row r="37" spans="1:11" ht="24.95" customHeight="1" thickBot="1" x14ac:dyDescent="0.35">
      <c r="A37" s="7">
        <v>0.125</v>
      </c>
      <c r="B37" s="8">
        <v>0.95833333333332005</v>
      </c>
      <c r="C37" s="89" t="s">
        <v>5</v>
      </c>
      <c r="D37" s="89" t="s">
        <v>5</v>
      </c>
      <c r="E37" s="89" t="s">
        <v>5</v>
      </c>
      <c r="F37" s="85" t="s">
        <v>127</v>
      </c>
      <c r="G37" s="89" t="s">
        <v>5</v>
      </c>
      <c r="H37" s="35" t="s">
        <v>110</v>
      </c>
      <c r="I37" s="35" t="s">
        <v>114</v>
      </c>
      <c r="J37" s="8">
        <v>0.95833333333332005</v>
      </c>
      <c r="K37" s="7">
        <v>0.125</v>
      </c>
    </row>
    <row r="38" spans="1:11" ht="24.95" customHeight="1" thickBot="1" x14ac:dyDescent="0.3">
      <c r="A38" s="7">
        <v>0.14583333333333334</v>
      </c>
      <c r="B38" s="10">
        <v>0.97916666666665397</v>
      </c>
      <c r="C38" s="87" t="s">
        <v>32</v>
      </c>
      <c r="D38" s="87" t="s">
        <v>49</v>
      </c>
      <c r="E38" s="87" t="s">
        <v>66</v>
      </c>
      <c r="F38" s="55" t="s">
        <v>126</v>
      </c>
      <c r="G38" s="87" t="s">
        <v>99</v>
      </c>
      <c r="H38" s="48" t="s">
        <v>121</v>
      </c>
      <c r="I38" s="48" t="s">
        <v>121</v>
      </c>
      <c r="J38" s="10">
        <v>0.97916666666665397</v>
      </c>
      <c r="K38" s="7">
        <v>0.14583333333333334</v>
      </c>
    </row>
    <row r="39" spans="1:11" ht="24.95" customHeight="1" x14ac:dyDescent="0.3">
      <c r="A39" s="7">
        <v>0.16666666666666666</v>
      </c>
      <c r="B39" s="8">
        <v>0</v>
      </c>
      <c r="C39" s="75" t="s">
        <v>1</v>
      </c>
      <c r="D39" s="75" t="s">
        <v>1</v>
      </c>
      <c r="E39" s="75" t="s">
        <v>1</v>
      </c>
      <c r="F39" s="75" t="s">
        <v>1</v>
      </c>
      <c r="G39" s="75" t="s">
        <v>1</v>
      </c>
      <c r="H39" s="39" t="s">
        <v>6</v>
      </c>
      <c r="I39" s="49"/>
      <c r="J39" s="8">
        <v>0</v>
      </c>
      <c r="K39" s="7">
        <v>0.16666666666666666</v>
      </c>
    </row>
    <row r="40" spans="1:11" ht="24.95" customHeight="1" thickBot="1" x14ac:dyDescent="0.35">
      <c r="A40" s="7">
        <v>0.1875</v>
      </c>
      <c r="B40" s="9">
        <v>2.0833333333337999E-2</v>
      </c>
      <c r="C40" s="77" t="s">
        <v>33</v>
      </c>
      <c r="D40" s="77" t="s">
        <v>50</v>
      </c>
      <c r="E40" s="77" t="s">
        <v>67</v>
      </c>
      <c r="F40" s="77" t="s">
        <v>83</v>
      </c>
      <c r="G40" s="77" t="s">
        <v>100</v>
      </c>
      <c r="H40" s="59" t="s">
        <v>109</v>
      </c>
      <c r="I40" s="92" t="s">
        <v>128</v>
      </c>
      <c r="J40" s="9">
        <v>2.0833333333337999E-2</v>
      </c>
      <c r="K40" s="7">
        <v>0.1875</v>
      </c>
    </row>
    <row r="41" spans="1:11" ht="24.95" customHeight="1" x14ac:dyDescent="0.3">
      <c r="A41" s="7">
        <v>0.20833333333333334</v>
      </c>
      <c r="B41" s="8">
        <v>4.1666666666671001E-2</v>
      </c>
      <c r="C41" s="37" t="s">
        <v>5</v>
      </c>
      <c r="D41" s="37" t="s">
        <v>5</v>
      </c>
      <c r="E41" s="37" t="s">
        <v>5</v>
      </c>
      <c r="F41" s="37" t="s">
        <v>5</v>
      </c>
      <c r="G41" s="37" t="s">
        <v>5</v>
      </c>
      <c r="H41" s="76" t="s">
        <v>11</v>
      </c>
      <c r="I41" s="92" t="s">
        <v>131</v>
      </c>
      <c r="J41" s="8">
        <v>4.1666666666671001E-2</v>
      </c>
      <c r="K41" s="7">
        <v>0.20833333333333334</v>
      </c>
    </row>
    <row r="42" spans="1:11" ht="24.95" customHeight="1" thickBot="1" x14ac:dyDescent="0.35">
      <c r="A42" s="7">
        <v>0.22916666666666666</v>
      </c>
      <c r="B42" s="10">
        <v>6.25E-2</v>
      </c>
      <c r="C42" s="40" t="str">
        <f t="shared" ref="C42:G42" si="2">C38</f>
        <v>N4SV0727</v>
      </c>
      <c r="D42" s="40" t="str">
        <f t="shared" si="2"/>
        <v>N4SV0728</v>
      </c>
      <c r="E42" s="40" t="str">
        <f t="shared" ref="E42" si="3">E38</f>
        <v>N4SV0729</v>
      </c>
      <c r="F42" s="40" t="s">
        <v>82</v>
      </c>
      <c r="G42" s="40" t="str">
        <f t="shared" si="2"/>
        <v>N4SV0731</v>
      </c>
      <c r="H42" s="59" t="s">
        <v>108</v>
      </c>
      <c r="I42" s="93" t="s">
        <v>129</v>
      </c>
      <c r="J42" s="10">
        <v>6.25E-2</v>
      </c>
      <c r="K42" s="7">
        <v>0.22916666666666666</v>
      </c>
    </row>
    <row r="43" spans="1:11" ht="24.95" customHeight="1" thickBot="1" x14ac:dyDescent="0.35">
      <c r="A43" s="7">
        <v>0.25</v>
      </c>
      <c r="B43" s="8">
        <v>8.3333333333337006E-2</v>
      </c>
      <c r="C43" s="37" t="str">
        <f t="shared" ref="C43" si="4">C22</f>
        <v>Notivos NVOS0727</v>
      </c>
      <c r="D43" s="37" t="str">
        <f t="shared" ref="D43:E43" si="5">D22</f>
        <v>Notivos NVOS0728</v>
      </c>
      <c r="E43" s="37" t="str">
        <f t="shared" si="5"/>
        <v>Notivos NVOS0729</v>
      </c>
      <c r="F43" s="37" t="str">
        <f t="shared" ref="F43:G43" si="6">F22</f>
        <v>Notivos NVOS0730</v>
      </c>
      <c r="G43" s="37" t="str">
        <f t="shared" si="6"/>
        <v>Notivos NVOS0731</v>
      </c>
      <c r="H43" s="94" t="s">
        <v>110</v>
      </c>
      <c r="I43" s="35" t="s">
        <v>114</v>
      </c>
      <c r="J43" s="8">
        <v>8.3333333333337006E-2</v>
      </c>
      <c r="K43" s="7">
        <v>0.25</v>
      </c>
    </row>
    <row r="44" spans="1:11" ht="24.95" customHeight="1" thickBot="1" x14ac:dyDescent="0.35">
      <c r="A44" s="25">
        <v>0.27083333333333331</v>
      </c>
      <c r="B44" s="26">
        <v>0.10416666666667</v>
      </c>
      <c r="C44" s="37" t="str">
        <f>C23</f>
        <v>Deportivos DNC0727</v>
      </c>
      <c r="D44" s="37" t="str">
        <f t="shared" ref="D44:F44" si="7">D23</f>
        <v>Deportivos DNC0728</v>
      </c>
      <c r="E44" s="37" t="str">
        <f t="shared" si="7"/>
        <v>Deportivos DNC0729</v>
      </c>
      <c r="F44" s="37" t="str">
        <f t="shared" si="7"/>
        <v>Deportivos DNC0730</v>
      </c>
      <c r="G44" s="37" t="str">
        <f t="shared" ref="G44" si="8">G23</f>
        <v>Deportivos DNC0731</v>
      </c>
      <c r="H44" s="58" t="s">
        <v>13</v>
      </c>
      <c r="I44" s="48" t="s">
        <v>121</v>
      </c>
      <c r="J44" s="26">
        <v>0.10416666666667</v>
      </c>
      <c r="K44" s="25">
        <v>0.27083333333333331</v>
      </c>
    </row>
    <row r="45" spans="1:11" ht="24.95" customHeight="1" thickBot="1" x14ac:dyDescent="0.35">
      <c r="A45" s="25">
        <v>0.29166666666666669</v>
      </c>
      <c r="B45" s="27">
        <v>0.125000000000003</v>
      </c>
      <c r="C45" s="37" t="s">
        <v>7</v>
      </c>
      <c r="D45" s="37" t="s">
        <v>7</v>
      </c>
      <c r="E45" s="37" t="s">
        <v>7</v>
      </c>
      <c r="F45" s="37" t="s">
        <v>7</v>
      </c>
      <c r="G45" s="37" t="s">
        <v>7</v>
      </c>
      <c r="H45" s="95" t="s">
        <v>111</v>
      </c>
      <c r="I45" s="96" t="s">
        <v>1</v>
      </c>
      <c r="J45" s="27">
        <v>0.125000000000003</v>
      </c>
      <c r="K45" s="25">
        <v>0.29166666666666669</v>
      </c>
    </row>
    <row r="46" spans="1:11" ht="24.95" customHeight="1" thickBot="1" x14ac:dyDescent="0.35">
      <c r="A46" s="25">
        <v>0.3125</v>
      </c>
      <c r="B46" s="26">
        <v>0.14583333333333601</v>
      </c>
      <c r="C46" s="40" t="str">
        <f>C30</f>
        <v>TCR0727</v>
      </c>
      <c r="D46" s="40" t="str">
        <f t="shared" ref="D46:F46" si="9">D30</f>
        <v>TCR0728</v>
      </c>
      <c r="E46" s="40" t="s">
        <v>63</v>
      </c>
      <c r="F46" s="40" t="str">
        <f t="shared" si="9"/>
        <v>TCR0730</v>
      </c>
      <c r="G46" s="40" t="str">
        <f t="shared" ref="G46" si="10">G30</f>
        <v>TCR0731</v>
      </c>
      <c r="H46" s="76" t="s">
        <v>11</v>
      </c>
      <c r="I46" s="97" t="s">
        <v>115</v>
      </c>
      <c r="J46" s="26">
        <v>0.14583333333333601</v>
      </c>
      <c r="K46" s="25">
        <v>0.3125</v>
      </c>
    </row>
    <row r="47" spans="1:11" ht="24.95" customHeight="1" thickBot="1" x14ac:dyDescent="0.35">
      <c r="A47" s="25">
        <v>0.33333333333333331</v>
      </c>
      <c r="B47" s="27">
        <v>0.16666666666666899</v>
      </c>
      <c r="C47" s="37" t="s">
        <v>1</v>
      </c>
      <c r="D47" s="37" t="s">
        <v>1</v>
      </c>
      <c r="E47" s="37" t="s">
        <v>1</v>
      </c>
      <c r="F47" s="37" t="s">
        <v>1</v>
      </c>
      <c r="G47" s="37" t="s">
        <v>1</v>
      </c>
      <c r="H47" s="59" t="s">
        <v>108</v>
      </c>
      <c r="I47" s="39" t="s">
        <v>6</v>
      </c>
      <c r="J47" s="27">
        <v>0.16666666666666899</v>
      </c>
      <c r="K47" s="25">
        <v>0.33333333333333331</v>
      </c>
    </row>
    <row r="48" spans="1:11" ht="24.95" customHeight="1" thickBot="1" x14ac:dyDescent="0.35">
      <c r="A48" s="25">
        <v>0.35416666666666669</v>
      </c>
      <c r="B48" s="26">
        <v>0.187500000000002</v>
      </c>
      <c r="C48" s="40" t="str">
        <f>C40</f>
        <v>NGGTB0727</v>
      </c>
      <c r="D48" s="40" t="str">
        <f t="shared" ref="D48:G48" si="11">D40</f>
        <v>NGGTB0728</v>
      </c>
      <c r="E48" s="40" t="str">
        <f t="shared" si="11"/>
        <v>NGGTB0729</v>
      </c>
      <c r="F48" s="40" t="str">
        <f t="shared" si="11"/>
        <v>NGGTB0730</v>
      </c>
      <c r="G48" s="40" t="str">
        <f t="shared" si="11"/>
        <v>NGGTB0731</v>
      </c>
      <c r="H48" s="33" t="s">
        <v>122</v>
      </c>
      <c r="I48" s="59" t="s">
        <v>109</v>
      </c>
      <c r="J48" s="26">
        <v>0.187500000000002</v>
      </c>
      <c r="K48" s="25">
        <v>0.35416666666666669</v>
      </c>
    </row>
    <row r="49" spans="1:11" ht="24.95" customHeight="1" thickBot="1" x14ac:dyDescent="0.35">
      <c r="A49" s="25">
        <v>0.375</v>
      </c>
      <c r="B49" s="27">
        <v>0.20833333333333501</v>
      </c>
      <c r="C49" s="98" t="s">
        <v>8</v>
      </c>
      <c r="D49" s="98" t="s">
        <v>8</v>
      </c>
      <c r="E49" s="98" t="s">
        <v>8</v>
      </c>
      <c r="F49" s="98" t="s">
        <v>8</v>
      </c>
      <c r="G49" s="98" t="s">
        <v>8</v>
      </c>
      <c r="H49" s="33" t="s">
        <v>106</v>
      </c>
      <c r="I49" s="99" t="s">
        <v>105</v>
      </c>
      <c r="J49" s="27">
        <v>0.20833333333333501</v>
      </c>
      <c r="K49" s="25">
        <v>0.375</v>
      </c>
    </row>
    <row r="50" spans="1:11" ht="24.95" customHeight="1" thickBot="1" x14ac:dyDescent="0.35">
      <c r="A50" s="25">
        <v>0.39583333333333331</v>
      </c>
      <c r="B50" s="26">
        <v>0.22916666666666799</v>
      </c>
      <c r="C50" s="40" t="s">
        <v>30</v>
      </c>
      <c r="D50" s="40" t="s">
        <v>47</v>
      </c>
      <c r="E50" s="40" t="s">
        <v>64</v>
      </c>
      <c r="F50" s="40" t="s">
        <v>81</v>
      </c>
      <c r="G50" s="40" t="s">
        <v>97</v>
      </c>
      <c r="H50" s="35" t="s">
        <v>123</v>
      </c>
      <c r="I50" s="35" t="s">
        <v>123</v>
      </c>
      <c r="J50" s="26">
        <v>0.22916666666666799</v>
      </c>
      <c r="K50" s="25">
        <v>0.39583333333333331</v>
      </c>
    </row>
    <row r="51" spans="1:11" ht="24.95" customHeight="1" x14ac:dyDescent="0.25">
      <c r="A51" s="29"/>
      <c r="B51" s="29"/>
      <c r="C51" s="29"/>
      <c r="D51" s="29"/>
      <c r="E51" s="29"/>
      <c r="F51" s="28"/>
      <c r="G51" s="29"/>
      <c r="H51" s="29"/>
      <c r="I51" s="29"/>
      <c r="J51" s="29"/>
      <c r="K51" s="29"/>
    </row>
    <row r="52" spans="1:11" ht="24.95" customHeigh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ht="24.9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ht="24.95" customHeigh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ht="24.95" customHeigh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spans="1:11" ht="24.95" customHeigh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spans="1:11" ht="24.9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spans="1:11" ht="24.9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spans="1:11" ht="24.9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spans="1:11" ht="24.95" customHeigh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spans="1:11" ht="24.95" customHeigh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spans="1:11" ht="24.95" customHeigh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spans="1:11" ht="24.95" customHeigh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spans="1:11" ht="24.95" customHeigh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spans="1:11" ht="24.95" customHeigh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spans="1:11" ht="24.95" customHeight="1" x14ac:dyDescent="0.25">
      <c r="A66" s="29"/>
      <c r="B66" s="29"/>
      <c r="C66" s="29"/>
      <c r="D66" s="29"/>
      <c r="E66" s="29"/>
      <c r="F66" s="100"/>
      <c r="G66" s="29"/>
      <c r="H66" s="29"/>
      <c r="I66" s="29"/>
      <c r="J66" s="29"/>
      <c r="K66" s="29"/>
    </row>
    <row r="67" spans="1:11" ht="24.95" customHeight="1" x14ac:dyDescent="0.25">
      <c r="A67" s="29"/>
      <c r="B67" s="29"/>
      <c r="C67" s="29"/>
      <c r="D67" s="29"/>
      <c r="E67" s="29"/>
      <c r="F67" s="100"/>
      <c r="G67" s="29"/>
      <c r="H67" s="29"/>
      <c r="I67" s="29"/>
      <c r="J67" s="29"/>
      <c r="K67" s="29"/>
    </row>
    <row r="68" spans="1:11" ht="24.95" customHeight="1" x14ac:dyDescent="0.25">
      <c r="A68" s="29"/>
      <c r="B68" s="29"/>
      <c r="C68" s="30"/>
      <c r="D68" s="29"/>
      <c r="E68" s="29"/>
      <c r="F68" s="29"/>
      <c r="G68" s="29"/>
      <c r="H68" s="29"/>
      <c r="I68" s="29"/>
      <c r="J68" s="29"/>
      <c r="K68" s="29"/>
    </row>
    <row r="69" spans="1:11" ht="24.95" customHeight="1" x14ac:dyDescent="0.25">
      <c r="A69" s="29"/>
      <c r="B69" s="29"/>
      <c r="C69" s="30"/>
      <c r="D69" s="29"/>
      <c r="E69" s="29"/>
      <c r="F69" s="29"/>
      <c r="G69" s="29"/>
      <c r="H69" s="29"/>
      <c r="I69" s="29"/>
      <c r="J69" s="29"/>
      <c r="K69" s="29"/>
    </row>
    <row r="70" spans="1:11" ht="24.95" customHeight="1" x14ac:dyDescent="0.25">
      <c r="A70" s="29"/>
      <c r="B70" s="29"/>
      <c r="C70" s="30"/>
      <c r="D70" s="29"/>
      <c r="E70" s="29"/>
      <c r="F70" s="29"/>
      <c r="G70" s="29"/>
      <c r="H70" s="29"/>
      <c r="I70" s="29"/>
      <c r="J70" s="29"/>
      <c r="K70" s="29"/>
    </row>
    <row r="71" spans="1:11" ht="24.95" customHeight="1" x14ac:dyDescent="0.25">
      <c r="A71" s="29"/>
      <c r="B71" s="29"/>
      <c r="C71" s="30"/>
      <c r="D71" s="29"/>
      <c r="E71" s="29"/>
      <c r="F71" s="29"/>
      <c r="G71" s="29"/>
      <c r="H71" s="29"/>
      <c r="I71" s="29"/>
      <c r="J71" s="29"/>
      <c r="K71" s="29"/>
    </row>
  </sheetData>
  <mergeCells count="1">
    <mergeCell ref="A1:K1"/>
  </mergeCells>
  <phoneticPr fontId="2" type="noConversion"/>
  <printOptions horizontalCentered="1" verticalCentered="1"/>
  <pageMargins left="0.1" right="0.1" top="0.1" bottom="0.1" header="0.1" footer="0.1"/>
  <pageSetup scale="45" orientation="landscape" r:id="rId1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Grilla CATV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dimitrius.marina</dc:creator>
  <cp:lastModifiedBy>Mauricio Hernandez Rodriguez</cp:lastModifiedBy>
  <cp:lastPrinted>2020-02-03T17:25:43Z</cp:lastPrinted>
  <dcterms:created xsi:type="dcterms:W3CDTF">2010-03-11T20:55:56Z</dcterms:created>
  <dcterms:modified xsi:type="dcterms:W3CDTF">2026-07-31T17:11:43Z</dcterms:modified>
</cp:coreProperties>
</file>