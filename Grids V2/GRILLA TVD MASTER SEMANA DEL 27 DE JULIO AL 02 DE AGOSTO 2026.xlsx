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aginatv-my.sharepoint.com/personal/mhernandezr_mediapro_tv/Documents/Documentos/Grids/Grids V2/"/>
    </mc:Choice>
  </mc:AlternateContent>
  <xr:revisionPtr revIDLastSave="602" documentId="13_ncr:1_{85FBDE59-73F5-484B-B15A-23E774801961}" xr6:coauthVersionLast="47" xr6:coauthVersionMax="47" xr10:uidLastSave="{EC594F6B-70DD-4058-BA0A-012B827C6769}"/>
  <bookViews>
    <workbookView showHorizontalScroll="0" showVerticalScroll="0" showSheetTabs="0"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G2" i="3"/>
  <c r="F2" i="3"/>
  <c r="E2" i="3"/>
  <c r="D2" i="3"/>
  <c r="I2" i="2"/>
  <c r="H2" i="2"/>
  <c r="G2" i="2"/>
  <c r="F2" i="2"/>
  <c r="E2" i="2"/>
  <c r="D2" i="2"/>
  <c r="I2" i="1"/>
  <c r="H2" i="1"/>
  <c r="G2" i="1"/>
  <c r="F2" i="1"/>
  <c r="E2" i="1"/>
  <c r="D2" i="1"/>
  <c r="C34" i="1"/>
</calcChain>
</file>

<file path=xl/sharedStrings.xml><?xml version="1.0" encoding="utf-8"?>
<sst xmlns="http://schemas.openxmlformats.org/spreadsheetml/2006/main" count="252" uniqueCount="96">
  <si>
    <t>ET</t>
  </si>
  <si>
    <t>NOTICIERO SIN EDICION ESTELAR</t>
  </si>
  <si>
    <t>EL DESPERTADOR</t>
  </si>
  <si>
    <t>EL SHOW DEL MEDIO DIA</t>
  </si>
  <si>
    <t>ENCUENTRO LATINO</t>
  </si>
  <si>
    <t>DE AQUÍ PA LLA CON EL PACHA</t>
  </si>
  <si>
    <t xml:space="preserve">NOTICIAS SIN 1RA  </t>
  </si>
  <si>
    <t>NOCHE DE LUZ</t>
  </si>
  <si>
    <t>EL INFORME</t>
  </si>
  <si>
    <t>ENFASIS</t>
  </si>
  <si>
    <t>LA COSA COMO ES</t>
  </si>
  <si>
    <t>CONVERSACIONES</t>
  </si>
  <si>
    <t>NOTICIAS SIN Y MUCHO MAS</t>
  </si>
  <si>
    <t>MAS ROBERTO</t>
  </si>
  <si>
    <t>EL MANGÚ DE LAS MAÑANAS</t>
  </si>
  <si>
    <t>CENTRAL DE DEPORTES</t>
  </si>
  <si>
    <t>TOPITOK</t>
  </si>
  <si>
    <t>EL SHOW DE RAYMOND Y MIGUEL</t>
  </si>
  <si>
    <t>NOCHE DUERMA</t>
  </si>
  <si>
    <t>VIRUS DEPORTIVO</t>
  </si>
  <si>
    <t>PEQUEÑOS GRANDES TALENTOS 9</t>
  </si>
  <si>
    <t>GRILLA TELEVISIÓN DOMINICANA SEMANA DEL 27 DE JULIO AL 02 DE AGOSTO  2026</t>
  </si>
  <si>
    <t>NF0726</t>
  </si>
  <si>
    <t>COSA0724</t>
  </si>
  <si>
    <t>DESPT0727</t>
  </si>
  <si>
    <t>MANGU0727</t>
  </si>
  <si>
    <t>SHMD0727</t>
  </si>
  <si>
    <t>NP0727</t>
  </si>
  <si>
    <t>COSA0727</t>
  </si>
  <si>
    <t>CEND0727</t>
  </si>
  <si>
    <t>NYM0727</t>
  </si>
  <si>
    <t>NS0727</t>
  </si>
  <si>
    <t>DESPT0728</t>
  </si>
  <si>
    <t>MANGU0728</t>
  </si>
  <si>
    <t>SHMD0728</t>
  </si>
  <si>
    <t>NP0728</t>
  </si>
  <si>
    <t>COSA0728</t>
  </si>
  <si>
    <t>CEND0728</t>
  </si>
  <si>
    <t>NYM0728</t>
  </si>
  <si>
    <t>NS0728</t>
  </si>
  <si>
    <t>DESPT0729</t>
  </si>
  <si>
    <t>MANGU0729</t>
  </si>
  <si>
    <t>SHMD0729</t>
  </si>
  <si>
    <t>NP0729</t>
  </si>
  <si>
    <t>COSA0729</t>
  </si>
  <si>
    <t>CEND0729</t>
  </si>
  <si>
    <t>NYM0729</t>
  </si>
  <si>
    <t>NS0729</t>
  </si>
  <si>
    <t>DESPT0730</t>
  </si>
  <si>
    <t>MANGU0730</t>
  </si>
  <si>
    <t>SHMD0730</t>
  </si>
  <si>
    <t>NP0730</t>
  </si>
  <si>
    <t>COSA0730</t>
  </si>
  <si>
    <t>CEND0730</t>
  </si>
  <si>
    <t>NYM0730</t>
  </si>
  <si>
    <t>NS0730</t>
  </si>
  <si>
    <t>DESPT0731</t>
  </si>
  <si>
    <t>MANGU0731</t>
  </si>
  <si>
    <t>SHMD0731</t>
  </si>
  <si>
    <t>NP0731</t>
  </si>
  <si>
    <t>COSA0731</t>
  </si>
  <si>
    <t>CEND0731</t>
  </si>
  <si>
    <t>NYM0731</t>
  </si>
  <si>
    <t>NS0731</t>
  </si>
  <si>
    <t>ELI0727</t>
  </si>
  <si>
    <t>DAPP0801</t>
  </si>
  <si>
    <t>NF0801</t>
  </si>
  <si>
    <t>CON0801</t>
  </si>
  <si>
    <t>MASR0802</t>
  </si>
  <si>
    <t>ENFA0802</t>
  </si>
  <si>
    <t>NF0802</t>
  </si>
  <si>
    <t>NDL0802</t>
  </si>
  <si>
    <t xml:space="preserve">LA GARRA DEL GUARAGUAO </t>
  </si>
  <si>
    <t>GARRA</t>
  </si>
  <si>
    <t>CEND0724</t>
  </si>
  <si>
    <t>ND0728</t>
  </si>
  <si>
    <t>ND0729</t>
  </si>
  <si>
    <t>ND0730</t>
  </si>
  <si>
    <t>ND0727</t>
  </si>
  <si>
    <t>CON0718</t>
  </si>
  <si>
    <t>TOPI0728</t>
  </si>
  <si>
    <t>TOPI0729</t>
  </si>
  <si>
    <t>TOPI0730</t>
  </si>
  <si>
    <t>TOPI07131</t>
  </si>
  <si>
    <t>ENCL0704</t>
  </si>
  <si>
    <t>NDR0801</t>
  </si>
  <si>
    <t>PGT906</t>
  </si>
  <si>
    <t>VD0802</t>
  </si>
  <si>
    <t>RYM902</t>
  </si>
  <si>
    <t>ME GUSTA LA TUYA</t>
  </si>
  <si>
    <t>MGLT</t>
  </si>
  <si>
    <t>NDL0726</t>
  </si>
  <si>
    <t>ND0723</t>
  </si>
  <si>
    <t>ND0723A</t>
  </si>
  <si>
    <t>UTC</t>
  </si>
  <si>
    <r>
      <rPr>
        <sz val="14"/>
        <rFont val="Verdana"/>
        <family val="2"/>
      </rPr>
      <t xml:space="preserve"> NOTICIAS FIN DE SEMANA</t>
    </r>
    <r>
      <rPr>
        <b/>
        <sz val="14"/>
        <rFont val="Verdana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</si>
</sst>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dd\,\ mmmm\ d"/>
  </numFmts>
  <fonts count="15" x14ac:knownFonts="1">
    <font>
      <sz val="11"/>
      <color theme="1"/>
      <name val="Calibri"/>
      <family val="2"/>
      <scheme val="minor"/>
    </font>
    <font>
      <sz val="14"/>
      <name val="Verdan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name val="Verdana"/>
      <family val="2"/>
    </font>
    <font>
      <sz val="14"/>
      <color theme="1"/>
      <name val="Calibri"/>
      <family val="2"/>
      <scheme val="minor"/>
    </font>
    <font>
      <b/>
      <sz val="14"/>
      <color indexed="8"/>
      <name val="Verdana"/>
      <family val="2"/>
    </font>
    <font>
      <sz val="14"/>
      <color theme="1"/>
      <name val="Verdana"/>
      <family val="2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EEF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43" fontId="2" fillId="0" borderId="0" applyFont="0" applyFill="0" applyBorder="0" applyAlignment="0" applyProtection="0"/>
    <xf numFmtId="0" fontId="3" fillId="0" borderId="0"/>
  </cellStyleXfs>
  <cellXfs count="8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49" fontId="7" fillId="9" borderId="2" xfId="0" applyNumberFormat="1" applyFont="1" applyFill="1" applyBorder="1" applyAlignment="1">
      <alignment horizontal="center" vertical="center" wrapText="1"/>
    </xf>
    <xf numFmtId="20" fontId="8" fillId="2" borderId="2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9" fillId="7" borderId="7" xfId="0" applyFont="1" applyFill="1" applyBorder="1" applyAlignment="1">
      <alignment horizontal="center" wrapText="1"/>
    </xf>
    <xf numFmtId="0" fontId="9" fillId="6" borderId="11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wrapText="1"/>
    </xf>
    <xf numFmtId="0" fontId="9" fillId="8" borderId="6" xfId="0" applyFont="1" applyFill="1" applyBorder="1" applyAlignment="1">
      <alignment horizontal="center" vertical="center" wrapText="1"/>
    </xf>
    <xf numFmtId="0" fontId="9" fillId="7" borderId="11" xfId="0" applyFont="1" applyFill="1" applyBorder="1" applyAlignment="1">
      <alignment horizont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wrapText="1"/>
    </xf>
    <xf numFmtId="0" fontId="1" fillId="6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wrapText="1"/>
    </xf>
    <xf numFmtId="0" fontId="11" fillId="8" borderId="6" xfId="0" applyFont="1" applyFill="1" applyBorder="1" applyAlignment="1">
      <alignment horizontal="center" wrapText="1"/>
    </xf>
    <xf numFmtId="0" fontId="11" fillId="6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9" fillId="5" borderId="7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" fillId="6" borderId="7" xfId="0" applyFont="1" applyFill="1" applyBorder="1" applyAlignment="1">
      <alignment horizontal="center" wrapText="1"/>
    </xf>
    <xf numFmtId="0" fontId="9" fillId="3" borderId="7" xfId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wrapText="1"/>
    </xf>
    <xf numFmtId="0" fontId="9" fillId="4" borderId="11" xfId="0" applyFont="1" applyFill="1" applyBorder="1" applyAlignment="1">
      <alignment horizontal="center" wrapText="1"/>
    </xf>
    <xf numFmtId="0" fontId="9" fillId="7" borderId="6" xfId="0" applyFont="1" applyFill="1" applyBorder="1" applyAlignment="1">
      <alignment horizontal="center" wrapText="1"/>
    </xf>
    <xf numFmtId="0" fontId="9" fillId="7" borderId="7" xfId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wrapText="1"/>
    </xf>
    <xf numFmtId="0" fontId="10" fillId="7" borderId="6" xfId="0" applyFont="1" applyFill="1" applyBorder="1" applyAlignment="1">
      <alignment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20" fontId="13" fillId="0" borderId="14" xfId="0" applyNumberFormat="1" applyFont="1" applyBorder="1" applyAlignment="1">
      <alignment horizontal="center" wrapText="1"/>
    </xf>
    <xf numFmtId="20" fontId="14" fillId="0" borderId="12" xfId="0" applyNumberFormat="1" applyFont="1" applyBorder="1" applyAlignment="1">
      <alignment horizontal="center" wrapText="1"/>
    </xf>
    <xf numFmtId="20" fontId="14" fillId="0" borderId="10" xfId="0" applyNumberFormat="1" applyFont="1" applyBorder="1" applyAlignment="1">
      <alignment horizontal="center" wrapText="1"/>
    </xf>
    <xf numFmtId="20" fontId="14" fillId="0" borderId="11" xfId="0" applyNumberFormat="1" applyFont="1" applyBorder="1" applyAlignment="1">
      <alignment horizontal="center" wrapText="1"/>
    </xf>
    <xf numFmtId="20" fontId="14" fillId="0" borderId="9" xfId="0" applyNumberFormat="1" applyFont="1" applyBorder="1" applyAlignment="1">
      <alignment horizontal="center" wrapText="1"/>
    </xf>
    <xf numFmtId="20" fontId="13" fillId="4" borderId="14" xfId="0" applyNumberFormat="1" applyFont="1" applyFill="1" applyBorder="1" applyAlignment="1">
      <alignment horizontal="center" wrapText="1"/>
    </xf>
    <xf numFmtId="20" fontId="14" fillId="4" borderId="8" xfId="0" applyNumberFormat="1" applyFont="1" applyFill="1" applyBorder="1" applyAlignment="1">
      <alignment horizontal="center" wrapText="1"/>
    </xf>
    <xf numFmtId="20" fontId="14" fillId="0" borderId="3" xfId="0" applyNumberFormat="1" applyFont="1" applyBorder="1" applyAlignment="1">
      <alignment horizontal="center" wrapText="1"/>
    </xf>
    <xf numFmtId="20" fontId="14" fillId="0" borderId="7" xfId="0" applyNumberFormat="1" applyFont="1" applyBorder="1" applyAlignment="1">
      <alignment horizontal="center" wrapText="1"/>
    </xf>
    <xf numFmtId="20" fontId="14" fillId="4" borderId="3" xfId="0" applyNumberFormat="1" applyFont="1" applyFill="1" applyBorder="1" applyAlignment="1">
      <alignment horizontal="center" wrapText="1"/>
    </xf>
    <xf numFmtId="20" fontId="14" fillId="4" borderId="4" xfId="0" applyNumberFormat="1" applyFont="1" applyFill="1" applyBorder="1" applyAlignment="1">
      <alignment horizontal="center" wrapText="1"/>
    </xf>
    <xf numFmtId="20" fontId="14" fillId="0" borderId="4" xfId="0" applyNumberFormat="1" applyFont="1" applyBorder="1" applyAlignment="1">
      <alignment horizontal="center" wrapText="1"/>
    </xf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/>
    <xf numFmtId="20" fontId="14" fillId="0" borderId="5" xfId="0" applyNumberFormat="1" applyFont="1" applyBorder="1" applyAlignment="1">
      <alignment horizontal="center" wrapText="1"/>
    </xf>
    <xf numFmtId="20" fontId="14" fillId="4" borderId="5" xfId="0" applyNumberFormat="1" applyFont="1" applyFill="1" applyBorder="1" applyAlignment="1">
      <alignment horizontal="center" wrapText="1"/>
    </xf>
    <xf numFmtId="20" fontId="14" fillId="8" borderId="3" xfId="0" applyNumberFormat="1" applyFont="1" applyFill="1" applyBorder="1" applyAlignment="1">
      <alignment horizontal="center" wrapText="1"/>
    </xf>
    <xf numFmtId="20" fontId="13" fillId="8" borderId="14" xfId="0" applyNumberFormat="1" applyFont="1" applyFill="1" applyBorder="1" applyAlignment="1">
      <alignment horizontal="center" wrapText="1"/>
    </xf>
    <xf numFmtId="20" fontId="14" fillId="8" borderId="4" xfId="0" applyNumberFormat="1" applyFont="1" applyFill="1" applyBorder="1" applyAlignment="1">
      <alignment horizontal="center" wrapText="1"/>
    </xf>
  </cellXfs>
  <cellStyles count="6">
    <cellStyle name="Comma 2" xfId="4" xr:uid="{00000000-0005-0000-0000-000000000000}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4 2" xfId="5" xr:uid="{00000000-0005-0000-0000-000005000000}"/>
  </cellStyles>
  <dxfs count="0"/>
  <tableStyles count="0" defaultTableStyle="TableStyleMedium2" defaultPivotStyle="PivotStyleLight16"/>
  <colors>
    <mruColors>
      <color rgb="FFBFBFBF"/>
      <color rgb="FFCCFFFF"/>
      <color rgb="FFC2EEF4"/>
      <color rgb="FF66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6"/>
  <sheetViews>
    <sheetView tabSelected="1" topLeftCell="D1" zoomScale="70" zoomScaleNormal="70" workbookViewId="0">
      <selection activeCell="I35" sqref="I35"/>
    </sheetView>
  </sheetViews>
  <sheetFormatPr defaultRowHeight="15" x14ac:dyDescent="0.25"/>
  <cols>
    <col min="1" max="2" width="7.7109375" style="77" customWidth="1"/>
    <col min="3" max="9" width="37.7109375" customWidth="1"/>
    <col min="10" max="11" width="7.7109375" style="77" customWidth="1"/>
  </cols>
  <sheetData>
    <row r="1" spans="1:11" ht="35.1" customHeight="1" thickBot="1" x14ac:dyDescent="0.3">
      <c r="A1" s="4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s="1" customFormat="1" ht="35.1" customHeight="1" thickBot="1" x14ac:dyDescent="0.3">
      <c r="A2" s="5" t="s">
        <v>94</v>
      </c>
      <c r="B2" s="6" t="s">
        <v>0</v>
      </c>
      <c r="C2" s="7">
        <v>46230</v>
      </c>
      <c r="D2" s="7">
        <f>C2+1</f>
        <v>46231</v>
      </c>
      <c r="E2" s="7">
        <f>C2+2</f>
        <v>46232</v>
      </c>
      <c r="F2" s="7">
        <f>C2+3</f>
        <v>46233</v>
      </c>
      <c r="G2" s="7">
        <f>C2+4</f>
        <v>46234</v>
      </c>
      <c r="H2" s="7">
        <f>C2+5</f>
        <v>46235</v>
      </c>
      <c r="I2" s="7">
        <f>C2+6</f>
        <v>46236</v>
      </c>
      <c r="J2" s="6" t="s">
        <v>0</v>
      </c>
      <c r="K2" s="5" t="s">
        <v>94</v>
      </c>
    </row>
    <row r="3" spans="1:11" ht="24.95" customHeight="1" x14ac:dyDescent="0.3">
      <c r="A3" s="63">
        <v>0.41666666666666669</v>
      </c>
      <c r="B3" s="64">
        <v>0.25</v>
      </c>
      <c r="C3" s="8" t="s">
        <v>95</v>
      </c>
      <c r="D3" s="9" t="s">
        <v>1</v>
      </c>
      <c r="E3" s="9" t="s">
        <v>1</v>
      </c>
      <c r="F3" s="9" t="s">
        <v>1</v>
      </c>
      <c r="G3" s="9" t="s">
        <v>1</v>
      </c>
      <c r="H3" s="9" t="s">
        <v>1</v>
      </c>
      <c r="I3" s="8" t="s">
        <v>95</v>
      </c>
      <c r="J3" s="70">
        <v>0.25</v>
      </c>
      <c r="K3" s="63">
        <v>0.41666666666666669</v>
      </c>
    </row>
    <row r="4" spans="1:11" ht="24.95" customHeight="1" thickBot="1" x14ac:dyDescent="0.35">
      <c r="A4" s="63">
        <v>0.4375</v>
      </c>
      <c r="B4" s="65">
        <v>0.27083333333333331</v>
      </c>
      <c r="C4" s="10" t="s">
        <v>22</v>
      </c>
      <c r="D4" s="11" t="s">
        <v>31</v>
      </c>
      <c r="E4" s="11" t="s">
        <v>39</v>
      </c>
      <c r="F4" s="11" t="s">
        <v>47</v>
      </c>
      <c r="G4" s="11" t="s">
        <v>55</v>
      </c>
      <c r="H4" s="11" t="s">
        <v>63</v>
      </c>
      <c r="I4" s="10" t="s">
        <v>66</v>
      </c>
      <c r="J4" s="71">
        <v>0.27083333333333331</v>
      </c>
      <c r="K4" s="63">
        <v>0.4375</v>
      </c>
    </row>
    <row r="5" spans="1:11" ht="24.95" customHeight="1" x14ac:dyDescent="0.3">
      <c r="A5" s="63">
        <v>0.45833333333333331</v>
      </c>
      <c r="B5" s="64">
        <v>0.29166666666666669</v>
      </c>
      <c r="C5" s="12" t="s">
        <v>10</v>
      </c>
      <c r="D5" s="12" t="s">
        <v>10</v>
      </c>
      <c r="E5" s="12" t="s">
        <v>10</v>
      </c>
      <c r="F5" s="12" t="s">
        <v>10</v>
      </c>
      <c r="G5" s="12" t="s">
        <v>10</v>
      </c>
      <c r="H5" s="13" t="s">
        <v>8</v>
      </c>
      <c r="I5" s="14" t="s">
        <v>5</v>
      </c>
      <c r="J5" s="78">
        <v>0.29166666666666669</v>
      </c>
      <c r="K5" s="63">
        <v>0.45833333333333331</v>
      </c>
    </row>
    <row r="6" spans="1:11" ht="24.95" customHeight="1" thickBot="1" x14ac:dyDescent="0.35">
      <c r="A6" s="63">
        <v>0.47916666666666669</v>
      </c>
      <c r="B6" s="66">
        <v>0.3125</v>
      </c>
      <c r="C6" s="15" t="s">
        <v>23</v>
      </c>
      <c r="D6" s="15" t="s">
        <v>28</v>
      </c>
      <c r="E6" s="15" t="s">
        <v>36</v>
      </c>
      <c r="F6" s="15" t="s">
        <v>44</v>
      </c>
      <c r="G6" s="15" t="s">
        <v>52</v>
      </c>
      <c r="H6" s="16" t="s">
        <v>64</v>
      </c>
      <c r="I6" s="17" t="s">
        <v>65</v>
      </c>
      <c r="J6" s="74">
        <v>0.3125</v>
      </c>
      <c r="K6" s="63">
        <v>0.47916666666666669</v>
      </c>
    </row>
    <row r="7" spans="1:11" ht="24.95" customHeight="1" x14ac:dyDescent="0.3">
      <c r="A7" s="63">
        <v>0.5</v>
      </c>
      <c r="B7" s="67">
        <v>0.33333333333333331</v>
      </c>
      <c r="C7" s="18" t="s">
        <v>2</v>
      </c>
      <c r="D7" s="18" t="s">
        <v>2</v>
      </c>
      <c r="E7" s="18" t="s">
        <v>2</v>
      </c>
      <c r="F7" s="18" t="s">
        <v>2</v>
      </c>
      <c r="G7" s="18" t="s">
        <v>2</v>
      </c>
      <c r="H7" s="19" t="s">
        <v>4</v>
      </c>
      <c r="I7" s="19" t="s">
        <v>4</v>
      </c>
      <c r="J7" s="78">
        <v>0.33333333333333331</v>
      </c>
      <c r="K7" s="63">
        <v>0.5</v>
      </c>
    </row>
    <row r="8" spans="1:11" ht="24.95" customHeight="1" thickBot="1" x14ac:dyDescent="0.35">
      <c r="A8" s="63">
        <v>0.52083333333333337</v>
      </c>
      <c r="B8" s="65">
        <v>0.35416666666666669</v>
      </c>
      <c r="C8" s="20" t="s">
        <v>24</v>
      </c>
      <c r="D8" s="20" t="s">
        <v>32</v>
      </c>
      <c r="E8" s="20" t="s">
        <v>40</v>
      </c>
      <c r="F8" s="20" t="s">
        <v>48</v>
      </c>
      <c r="G8" s="20" t="s">
        <v>56</v>
      </c>
      <c r="H8" s="21" t="s">
        <v>84</v>
      </c>
      <c r="I8" s="21" t="s">
        <v>84</v>
      </c>
      <c r="J8" s="74">
        <v>0.35416666666666669</v>
      </c>
      <c r="K8" s="63">
        <v>0.52083333333333337</v>
      </c>
    </row>
    <row r="9" spans="1:11" ht="24.95" customHeight="1" x14ac:dyDescent="0.3">
      <c r="A9" s="63">
        <v>0.54166666666666663</v>
      </c>
      <c r="B9" s="67">
        <v>0.375</v>
      </c>
      <c r="C9" s="22"/>
      <c r="D9" s="22"/>
      <c r="E9" s="22"/>
      <c r="F9" s="22"/>
      <c r="G9" s="22"/>
      <c r="H9" s="23" t="s">
        <v>11</v>
      </c>
      <c r="I9" s="24" t="s">
        <v>11</v>
      </c>
      <c r="J9" s="78">
        <v>0.375</v>
      </c>
      <c r="K9" s="63">
        <v>0.54166666666666663</v>
      </c>
    </row>
    <row r="10" spans="1:11" ht="24.95" customHeight="1" thickBot="1" x14ac:dyDescent="0.35">
      <c r="A10" s="63">
        <v>0.5625</v>
      </c>
      <c r="B10" s="65">
        <v>0.39583333333333331</v>
      </c>
      <c r="C10" s="25"/>
      <c r="D10" s="25"/>
      <c r="E10" s="25"/>
      <c r="F10" s="25"/>
      <c r="G10" s="25"/>
      <c r="H10" s="26" t="s">
        <v>79</v>
      </c>
      <c r="I10" s="15" t="s">
        <v>67</v>
      </c>
      <c r="J10" s="74">
        <v>0.39583333333333331</v>
      </c>
      <c r="K10" s="63">
        <v>0.5625</v>
      </c>
    </row>
    <row r="11" spans="1:11" ht="24.95" customHeight="1" x14ac:dyDescent="0.3">
      <c r="A11" s="63">
        <v>0.58333333333333337</v>
      </c>
      <c r="B11" s="67">
        <v>0.41666666666666669</v>
      </c>
      <c r="C11" s="27"/>
      <c r="D11" s="27"/>
      <c r="E11" s="27"/>
      <c r="F11" s="27"/>
      <c r="G11" s="27"/>
      <c r="H11" s="28" t="s">
        <v>16</v>
      </c>
      <c r="I11" s="28" t="s">
        <v>16</v>
      </c>
      <c r="J11" s="78">
        <v>0.41666666666666669</v>
      </c>
      <c r="K11" s="63">
        <v>0.58333333333333337</v>
      </c>
    </row>
    <row r="12" spans="1:11" ht="24.95" customHeight="1" thickBot="1" x14ac:dyDescent="0.35">
      <c r="A12" s="63">
        <v>0.60416666666666663</v>
      </c>
      <c r="B12" s="65">
        <v>0.4375</v>
      </c>
      <c r="C12" s="29" t="s">
        <v>14</v>
      </c>
      <c r="D12" s="29" t="s">
        <v>14</v>
      </c>
      <c r="E12" s="29" t="s">
        <v>14</v>
      </c>
      <c r="F12" s="29" t="s">
        <v>14</v>
      </c>
      <c r="G12" s="29" t="s">
        <v>14</v>
      </c>
      <c r="H12" s="30" t="s">
        <v>80</v>
      </c>
      <c r="I12" s="30" t="s">
        <v>82</v>
      </c>
      <c r="J12" s="74">
        <v>0.4375</v>
      </c>
      <c r="K12" s="63">
        <v>0.60416666666666663</v>
      </c>
    </row>
    <row r="13" spans="1:11" ht="24.95" customHeight="1" x14ac:dyDescent="0.3">
      <c r="A13" s="63">
        <v>0.625</v>
      </c>
      <c r="B13" s="67">
        <v>0.45833333333333331</v>
      </c>
      <c r="C13" s="31" t="s">
        <v>25</v>
      </c>
      <c r="D13" s="31" t="s">
        <v>33</v>
      </c>
      <c r="E13" s="31" t="s">
        <v>41</v>
      </c>
      <c r="F13" s="31" t="s">
        <v>49</v>
      </c>
      <c r="G13" s="31" t="s">
        <v>57</v>
      </c>
      <c r="H13" s="28" t="s">
        <v>16</v>
      </c>
      <c r="I13" s="28" t="s">
        <v>16</v>
      </c>
      <c r="J13" s="78">
        <v>0.45833333333333331</v>
      </c>
      <c r="K13" s="63">
        <v>0.625</v>
      </c>
    </row>
    <row r="14" spans="1:11" ht="24.95" customHeight="1" thickBot="1" x14ac:dyDescent="0.35">
      <c r="A14" s="63">
        <v>0.64583333333333337</v>
      </c>
      <c r="B14" s="65">
        <v>0.47916666666666669</v>
      </c>
      <c r="C14" s="32"/>
      <c r="D14" s="32"/>
      <c r="E14" s="32"/>
      <c r="F14" s="32"/>
      <c r="G14" s="32"/>
      <c r="H14" s="30" t="s">
        <v>81</v>
      </c>
      <c r="I14" s="30" t="s">
        <v>83</v>
      </c>
      <c r="J14" s="74">
        <v>0.47916666666666669</v>
      </c>
      <c r="K14" s="63">
        <v>0.64583333333333337</v>
      </c>
    </row>
    <row r="15" spans="1:11" ht="24.95" customHeight="1" x14ac:dyDescent="0.3">
      <c r="A15" s="63">
        <v>0.66666666666666663</v>
      </c>
      <c r="B15" s="67">
        <v>0.5</v>
      </c>
      <c r="C15" s="18"/>
      <c r="D15" s="18"/>
      <c r="E15" s="18"/>
      <c r="F15" s="18"/>
      <c r="G15" s="18"/>
      <c r="H15" s="33"/>
      <c r="I15" s="34"/>
      <c r="J15" s="70">
        <v>0.5</v>
      </c>
      <c r="K15" s="63">
        <v>0.66666666666666663</v>
      </c>
    </row>
    <row r="16" spans="1:11" ht="24.95" customHeight="1" thickBot="1" x14ac:dyDescent="0.35">
      <c r="A16" s="63">
        <v>0.6875</v>
      </c>
      <c r="B16" s="65">
        <v>0.52083333333333337</v>
      </c>
      <c r="C16" s="22" t="s">
        <v>3</v>
      </c>
      <c r="D16" s="22" t="s">
        <v>3</v>
      </c>
      <c r="E16" s="22" t="s">
        <v>3</v>
      </c>
      <c r="F16" s="22" t="s">
        <v>3</v>
      </c>
      <c r="G16" s="22" t="s">
        <v>3</v>
      </c>
      <c r="H16" s="35" t="s">
        <v>3</v>
      </c>
      <c r="I16" s="36"/>
      <c r="J16" s="74">
        <v>0.52083333333333337</v>
      </c>
      <c r="K16" s="63">
        <v>0.6875</v>
      </c>
    </row>
    <row r="17" spans="1:11" ht="24.95" customHeight="1" x14ac:dyDescent="0.3">
      <c r="A17" s="63">
        <v>0.70833333333333337</v>
      </c>
      <c r="B17" s="64">
        <v>0.54166666666666663</v>
      </c>
      <c r="C17" s="37" t="s">
        <v>26</v>
      </c>
      <c r="D17" s="37" t="s">
        <v>34</v>
      </c>
      <c r="E17" s="37" t="s">
        <v>42</v>
      </c>
      <c r="F17" s="37" t="s">
        <v>50</v>
      </c>
      <c r="G17" s="37" t="s">
        <v>58</v>
      </c>
      <c r="H17" s="38" t="s">
        <v>58</v>
      </c>
      <c r="I17" s="39" t="s">
        <v>13</v>
      </c>
      <c r="J17" s="78">
        <v>0.54166666666666663</v>
      </c>
      <c r="K17" s="63">
        <v>0.70833333333333337</v>
      </c>
    </row>
    <row r="18" spans="1:11" ht="24.95" customHeight="1" thickBot="1" x14ac:dyDescent="0.35">
      <c r="A18" s="63">
        <v>0.72916666666666663</v>
      </c>
      <c r="B18" s="65">
        <v>0.5625</v>
      </c>
      <c r="C18" s="40"/>
      <c r="D18" s="40"/>
      <c r="E18" s="40"/>
      <c r="F18" s="40"/>
      <c r="G18" s="40"/>
      <c r="H18" s="41"/>
      <c r="I18" s="42" t="s">
        <v>68</v>
      </c>
      <c r="J18" s="74">
        <v>0.5625</v>
      </c>
      <c r="K18" s="63">
        <v>0.72916666666666663</v>
      </c>
    </row>
    <row r="19" spans="1:11" ht="24.95" customHeight="1" x14ac:dyDescent="0.3">
      <c r="A19" s="63">
        <v>0.75</v>
      </c>
      <c r="B19" s="67">
        <v>0.58333333333333337</v>
      </c>
      <c r="C19" s="22" t="s">
        <v>6</v>
      </c>
      <c r="D19" s="22" t="s">
        <v>6</v>
      </c>
      <c r="E19" s="22" t="s">
        <v>6</v>
      </c>
      <c r="F19" s="22" t="s">
        <v>6</v>
      </c>
      <c r="G19" s="22" t="s">
        <v>6</v>
      </c>
      <c r="H19" s="23"/>
      <c r="I19" s="42"/>
      <c r="J19" s="70">
        <v>0.58333333333333337</v>
      </c>
      <c r="K19" s="63">
        <v>0.75</v>
      </c>
    </row>
    <row r="20" spans="1:11" ht="24.95" customHeight="1" thickBot="1" x14ac:dyDescent="0.35">
      <c r="A20" s="63">
        <v>0.77083333333333337</v>
      </c>
      <c r="B20" s="65">
        <v>0.60416666666666663</v>
      </c>
      <c r="C20" s="25" t="s">
        <v>27</v>
      </c>
      <c r="D20" s="25" t="s">
        <v>35</v>
      </c>
      <c r="E20" s="25" t="s">
        <v>43</v>
      </c>
      <c r="F20" s="25" t="s">
        <v>51</v>
      </c>
      <c r="G20" s="25" t="s">
        <v>59</v>
      </c>
      <c r="H20" s="43" t="s">
        <v>18</v>
      </c>
      <c r="I20" s="26"/>
      <c r="J20" s="73">
        <v>0.60416666666666663</v>
      </c>
      <c r="K20" s="63">
        <v>0.77083333333333337</v>
      </c>
    </row>
    <row r="21" spans="1:11" ht="24.95" customHeight="1" x14ac:dyDescent="0.3">
      <c r="A21" s="63">
        <v>0.79166666666666663</v>
      </c>
      <c r="B21" s="64">
        <v>0.625</v>
      </c>
      <c r="C21" s="44" t="s">
        <v>10</v>
      </c>
      <c r="D21" s="44" t="s">
        <v>10</v>
      </c>
      <c r="E21" s="44" t="s">
        <v>10</v>
      </c>
      <c r="F21" s="44" t="s">
        <v>10</v>
      </c>
      <c r="G21" s="44" t="s">
        <v>10</v>
      </c>
      <c r="H21" s="42" t="s">
        <v>85</v>
      </c>
      <c r="I21" s="23"/>
      <c r="J21" s="72">
        <v>0.625</v>
      </c>
      <c r="K21" s="63">
        <v>0.79166666666666663</v>
      </c>
    </row>
    <row r="22" spans="1:11" ht="24.95" customHeight="1" thickBot="1" x14ac:dyDescent="0.35">
      <c r="A22" s="63">
        <v>0.8125</v>
      </c>
      <c r="B22" s="65">
        <v>0.64583333333333337</v>
      </c>
      <c r="C22" s="45" t="s">
        <v>28</v>
      </c>
      <c r="D22" s="45" t="s">
        <v>36</v>
      </c>
      <c r="E22" s="45" t="s">
        <v>44</v>
      </c>
      <c r="F22" s="45" t="s">
        <v>52</v>
      </c>
      <c r="G22" s="45" t="s">
        <v>60</v>
      </c>
      <c r="H22" s="26"/>
      <c r="I22" s="43" t="s">
        <v>20</v>
      </c>
      <c r="J22" s="73">
        <v>0.64583333333333337</v>
      </c>
      <c r="K22" s="63">
        <v>0.8125</v>
      </c>
    </row>
    <row r="23" spans="1:11" ht="24.95" customHeight="1" x14ac:dyDescent="0.3">
      <c r="A23" s="63">
        <v>0.83333333333333337</v>
      </c>
      <c r="B23" s="67">
        <v>0.66666666666666663</v>
      </c>
      <c r="C23" s="46"/>
      <c r="D23" s="46"/>
      <c r="E23" s="46"/>
      <c r="F23" s="46"/>
      <c r="G23" s="46"/>
      <c r="H23" s="14"/>
      <c r="I23" s="42" t="s">
        <v>86</v>
      </c>
      <c r="J23" s="72">
        <v>0.66666666666666663</v>
      </c>
      <c r="K23" s="63">
        <v>0.83333333333333337</v>
      </c>
    </row>
    <row r="24" spans="1:11" ht="24.95" customHeight="1" thickBot="1" x14ac:dyDescent="0.35">
      <c r="A24" s="63">
        <v>0.85416666666666663</v>
      </c>
      <c r="B24" s="65">
        <v>0.6875</v>
      </c>
      <c r="C24" s="47" t="s">
        <v>14</v>
      </c>
      <c r="D24" s="47" t="s">
        <v>14</v>
      </c>
      <c r="E24" s="47" t="s">
        <v>14</v>
      </c>
      <c r="F24" s="47" t="s">
        <v>14</v>
      </c>
      <c r="G24" s="47" t="s">
        <v>14</v>
      </c>
      <c r="H24" s="9" t="s">
        <v>72</v>
      </c>
      <c r="I24" s="26"/>
      <c r="J24" s="73">
        <v>0.6875</v>
      </c>
      <c r="K24" s="63">
        <v>0.85416666666666663</v>
      </c>
    </row>
    <row r="25" spans="1:11" ht="24.95" customHeight="1" x14ac:dyDescent="0.3">
      <c r="A25" s="63">
        <v>0.875</v>
      </c>
      <c r="B25" s="64">
        <v>0.70833333333333337</v>
      </c>
      <c r="C25" s="48" t="s">
        <v>25</v>
      </c>
      <c r="D25" s="48" t="s">
        <v>33</v>
      </c>
      <c r="E25" s="48" t="s">
        <v>41</v>
      </c>
      <c r="F25" s="48" t="s">
        <v>49</v>
      </c>
      <c r="G25" s="48" t="s">
        <v>57</v>
      </c>
      <c r="H25" s="49" t="s">
        <v>73</v>
      </c>
      <c r="I25" s="24" t="s">
        <v>11</v>
      </c>
      <c r="J25" s="79">
        <v>0.70833333333333337</v>
      </c>
      <c r="K25" s="63">
        <v>0.875</v>
      </c>
    </row>
    <row r="26" spans="1:11" ht="24.95" customHeight="1" thickBot="1" x14ac:dyDescent="0.35">
      <c r="A26" s="63">
        <v>0.89583333333333337</v>
      </c>
      <c r="B26" s="65">
        <v>0.72916666666666663</v>
      </c>
      <c r="C26" s="10"/>
      <c r="D26" s="10"/>
      <c r="E26" s="10"/>
      <c r="F26" s="10"/>
      <c r="G26" s="10"/>
      <c r="H26" s="50"/>
      <c r="I26" s="15" t="s">
        <v>79</v>
      </c>
      <c r="J26" s="73">
        <v>0.72916666666666663</v>
      </c>
      <c r="K26" s="63">
        <v>0.89583333333333337</v>
      </c>
    </row>
    <row r="27" spans="1:11" ht="24.95" customHeight="1" x14ac:dyDescent="0.3">
      <c r="A27" s="68">
        <v>0.91666666666666663</v>
      </c>
      <c r="B27" s="69">
        <v>0.75</v>
      </c>
      <c r="C27" s="24" t="s">
        <v>15</v>
      </c>
      <c r="D27" s="24" t="s">
        <v>15</v>
      </c>
      <c r="E27" s="24" t="s">
        <v>15</v>
      </c>
      <c r="F27" s="24" t="s">
        <v>15</v>
      </c>
      <c r="G27" s="24" t="s">
        <v>15</v>
      </c>
      <c r="H27" s="23" t="s">
        <v>5</v>
      </c>
      <c r="I27" s="23" t="s">
        <v>9</v>
      </c>
      <c r="J27" s="79">
        <v>0.75</v>
      </c>
      <c r="K27" s="68">
        <v>0.91666666666666663</v>
      </c>
    </row>
    <row r="28" spans="1:11" ht="24.95" customHeight="1" thickBot="1" x14ac:dyDescent="0.35">
      <c r="A28" s="63">
        <v>0.9375</v>
      </c>
      <c r="B28" s="65">
        <v>0.77083333333333337</v>
      </c>
      <c r="C28" s="15" t="s">
        <v>74</v>
      </c>
      <c r="D28" s="15" t="s">
        <v>29</v>
      </c>
      <c r="E28" s="15" t="s">
        <v>37</v>
      </c>
      <c r="F28" s="15" t="s">
        <v>45</v>
      </c>
      <c r="G28" s="15" t="s">
        <v>53</v>
      </c>
      <c r="H28" s="26" t="s">
        <v>65</v>
      </c>
      <c r="I28" s="26" t="s">
        <v>69</v>
      </c>
      <c r="J28" s="74">
        <v>0.77083333333333337</v>
      </c>
      <c r="K28" s="63">
        <v>0.9375</v>
      </c>
    </row>
    <row r="29" spans="1:11" ht="24.95" customHeight="1" x14ac:dyDescent="0.3">
      <c r="A29" s="63">
        <v>0.95833333333333337</v>
      </c>
      <c r="B29" s="64">
        <v>0.79166666666666663</v>
      </c>
      <c r="C29" s="12" t="s">
        <v>10</v>
      </c>
      <c r="D29" s="12" t="s">
        <v>10</v>
      </c>
      <c r="E29" s="12" t="s">
        <v>10</v>
      </c>
      <c r="F29" s="12" t="s">
        <v>10</v>
      </c>
      <c r="G29" s="12" t="s">
        <v>10</v>
      </c>
      <c r="H29" s="13" t="s">
        <v>8</v>
      </c>
      <c r="I29" s="28" t="s">
        <v>19</v>
      </c>
      <c r="J29" s="70">
        <v>0.79166666666666663</v>
      </c>
      <c r="K29" s="63">
        <v>0.95833333333333337</v>
      </c>
    </row>
    <row r="30" spans="1:11" ht="24.95" customHeight="1" thickBot="1" x14ac:dyDescent="0.35">
      <c r="A30" s="63">
        <v>0.97916666666666663</v>
      </c>
      <c r="B30" s="65">
        <v>0.8125</v>
      </c>
      <c r="C30" s="15" t="s">
        <v>28</v>
      </c>
      <c r="D30" s="15" t="s">
        <v>36</v>
      </c>
      <c r="E30" s="15" t="s">
        <v>44</v>
      </c>
      <c r="F30" s="15" t="s">
        <v>52</v>
      </c>
      <c r="G30" s="15" t="s">
        <v>60</v>
      </c>
      <c r="H30" s="16" t="s">
        <v>64</v>
      </c>
      <c r="I30" s="51" t="s">
        <v>87</v>
      </c>
      <c r="J30" s="74">
        <v>0.8125</v>
      </c>
      <c r="K30" s="63">
        <v>0.97916666666666663</v>
      </c>
    </row>
    <row r="31" spans="1:11" ht="24.95" customHeight="1" x14ac:dyDescent="0.3">
      <c r="A31" s="63">
        <v>0</v>
      </c>
      <c r="B31" s="67">
        <v>0.83333333333333337</v>
      </c>
      <c r="C31" s="52" t="s">
        <v>12</v>
      </c>
      <c r="D31" s="52" t="s">
        <v>12</v>
      </c>
      <c r="E31" s="52" t="s">
        <v>12</v>
      </c>
      <c r="F31" s="52" t="s">
        <v>12</v>
      </c>
      <c r="G31" s="52" t="s">
        <v>12</v>
      </c>
      <c r="H31" s="53" t="s">
        <v>95</v>
      </c>
      <c r="I31" s="53" t="s">
        <v>95</v>
      </c>
      <c r="J31" s="78">
        <v>0.83333333333333337</v>
      </c>
      <c r="K31" s="63">
        <v>0</v>
      </c>
    </row>
    <row r="32" spans="1:11" ht="24.95" customHeight="1" thickBot="1" x14ac:dyDescent="0.35">
      <c r="A32" s="63">
        <v>2.0833333333333332E-2</v>
      </c>
      <c r="B32" s="65">
        <v>0.85416666666666663</v>
      </c>
      <c r="C32" s="42" t="s">
        <v>30</v>
      </c>
      <c r="D32" s="42" t="s">
        <v>38</v>
      </c>
      <c r="E32" s="42" t="s">
        <v>46</v>
      </c>
      <c r="F32" s="42" t="s">
        <v>54</v>
      </c>
      <c r="G32" s="42" t="s">
        <v>62</v>
      </c>
      <c r="H32" s="30" t="s">
        <v>66</v>
      </c>
      <c r="I32" s="30" t="s">
        <v>70</v>
      </c>
      <c r="J32" s="74">
        <v>0.85416666666666663</v>
      </c>
      <c r="K32" s="63">
        <v>2.0833333333333332E-2</v>
      </c>
    </row>
    <row r="33" spans="1:11" ht="24.95" customHeight="1" x14ac:dyDescent="0.3">
      <c r="A33" s="63">
        <v>4.1666666666666664E-2</v>
      </c>
      <c r="B33" s="64">
        <v>0.875</v>
      </c>
      <c r="C33" s="54" t="s">
        <v>8</v>
      </c>
      <c r="D33" s="23"/>
      <c r="E33" s="23"/>
      <c r="F33" s="23"/>
      <c r="G33" s="23"/>
      <c r="H33" s="14"/>
      <c r="I33" s="46" t="s">
        <v>17</v>
      </c>
      <c r="J33" s="80">
        <v>0.875</v>
      </c>
      <c r="K33" s="81">
        <v>4.1666666666666664E-2</v>
      </c>
    </row>
    <row r="34" spans="1:11" ht="24.95" customHeight="1" thickBot="1" x14ac:dyDescent="0.35">
      <c r="A34" s="63">
        <v>6.25E-2</v>
      </c>
      <c r="B34" s="65">
        <v>0.89583333333333337</v>
      </c>
      <c r="C34" s="55" t="str">
        <f>H6</f>
        <v>ELI0727</v>
      </c>
      <c r="D34" s="43" t="s">
        <v>18</v>
      </c>
      <c r="E34" s="43" t="s">
        <v>18</v>
      </c>
      <c r="F34" s="43" t="s">
        <v>18</v>
      </c>
      <c r="G34" s="43" t="s">
        <v>18</v>
      </c>
      <c r="H34" s="9" t="s">
        <v>89</v>
      </c>
      <c r="I34" s="10" t="s">
        <v>88</v>
      </c>
      <c r="J34" s="82">
        <v>0.89583333333333337</v>
      </c>
      <c r="K34" s="81">
        <v>6.25E-2</v>
      </c>
    </row>
    <row r="35" spans="1:11" ht="24.95" customHeight="1" x14ac:dyDescent="0.3">
      <c r="A35" s="63">
        <v>8.3333333333333329E-2</v>
      </c>
      <c r="B35" s="64">
        <v>0.91666666666666663</v>
      </c>
      <c r="C35" s="24" t="s">
        <v>18</v>
      </c>
      <c r="D35" s="42" t="s">
        <v>78</v>
      </c>
      <c r="E35" s="42" t="s">
        <v>75</v>
      </c>
      <c r="F35" s="42" t="s">
        <v>76</v>
      </c>
      <c r="G35" s="42" t="s">
        <v>77</v>
      </c>
      <c r="H35" s="49" t="s">
        <v>90</v>
      </c>
      <c r="I35" s="23" t="s">
        <v>7</v>
      </c>
      <c r="J35" s="70">
        <v>0.91666666666666663</v>
      </c>
      <c r="K35" s="63">
        <v>8.3333333333333329E-2</v>
      </c>
    </row>
    <row r="36" spans="1:11" ht="24.95" customHeight="1" thickBot="1" x14ac:dyDescent="0.35">
      <c r="A36" s="63">
        <v>0.10416666666666667</v>
      </c>
      <c r="B36" s="65">
        <v>0.9375</v>
      </c>
      <c r="C36" s="15" t="s">
        <v>93</v>
      </c>
      <c r="D36" s="26"/>
      <c r="E36" s="26"/>
      <c r="F36" s="26"/>
      <c r="G36" s="26"/>
      <c r="H36" s="50"/>
      <c r="I36" s="26" t="s">
        <v>71</v>
      </c>
      <c r="J36" s="74">
        <v>0.9375</v>
      </c>
      <c r="K36" s="63">
        <v>0.10416666666666667</v>
      </c>
    </row>
    <row r="37" spans="1:11" ht="24.95" customHeight="1" x14ac:dyDescent="0.3">
      <c r="A37" s="63">
        <v>0.125</v>
      </c>
      <c r="B37" s="64">
        <v>0.95833333333333337</v>
      </c>
      <c r="C37" s="43" t="s">
        <v>1</v>
      </c>
      <c r="D37" s="43" t="s">
        <v>1</v>
      </c>
      <c r="E37" s="43" t="s">
        <v>1</v>
      </c>
      <c r="F37" s="43" t="s">
        <v>1</v>
      </c>
      <c r="G37" s="43" t="s">
        <v>1</v>
      </c>
      <c r="H37" s="24"/>
      <c r="I37" s="8" t="s">
        <v>95</v>
      </c>
      <c r="J37" s="70">
        <v>0.95833333333333337</v>
      </c>
      <c r="K37" s="63">
        <v>0.125</v>
      </c>
    </row>
    <row r="38" spans="1:11" ht="24.95" customHeight="1" thickBot="1" x14ac:dyDescent="0.35">
      <c r="A38" s="63">
        <v>0.14583333333333334</v>
      </c>
      <c r="B38" s="65">
        <v>0.97916666666666663</v>
      </c>
      <c r="C38" s="30" t="s">
        <v>31</v>
      </c>
      <c r="D38" s="30" t="s">
        <v>39</v>
      </c>
      <c r="E38" s="30" t="s">
        <v>47</v>
      </c>
      <c r="F38" s="30" t="s">
        <v>55</v>
      </c>
      <c r="G38" s="30" t="s">
        <v>63</v>
      </c>
      <c r="H38" s="12" t="s">
        <v>18</v>
      </c>
      <c r="I38" s="10" t="s">
        <v>70</v>
      </c>
      <c r="J38" s="74">
        <v>0.97916666666666663</v>
      </c>
      <c r="K38" s="63">
        <v>0.14583333333333334</v>
      </c>
    </row>
    <row r="39" spans="1:11" ht="24.95" customHeight="1" x14ac:dyDescent="0.3">
      <c r="A39" s="63">
        <v>0.16666666666666666</v>
      </c>
      <c r="B39" s="70">
        <v>0</v>
      </c>
      <c r="C39" s="23" t="s">
        <v>15</v>
      </c>
      <c r="D39" s="23" t="s">
        <v>15</v>
      </c>
      <c r="E39" s="23" t="s">
        <v>15</v>
      </c>
      <c r="F39" s="23" t="s">
        <v>15</v>
      </c>
      <c r="G39" s="23" t="s">
        <v>15</v>
      </c>
      <c r="H39" s="56" t="s">
        <v>85</v>
      </c>
      <c r="I39" s="46" t="s">
        <v>19</v>
      </c>
      <c r="J39" s="70">
        <v>0</v>
      </c>
      <c r="K39" s="63">
        <v>0.16666666666666666</v>
      </c>
    </row>
    <row r="40" spans="1:11" ht="24.95" customHeight="1" thickBot="1" x14ac:dyDescent="0.35">
      <c r="A40" s="63">
        <v>0.1875</v>
      </c>
      <c r="B40" s="71">
        <v>2.0833333333333332E-2</v>
      </c>
      <c r="C40" s="26" t="s">
        <v>29</v>
      </c>
      <c r="D40" s="26" t="s">
        <v>37</v>
      </c>
      <c r="E40" s="26" t="s">
        <v>45</v>
      </c>
      <c r="F40" s="26" t="s">
        <v>53</v>
      </c>
      <c r="G40" s="26" t="s">
        <v>61</v>
      </c>
      <c r="H40" s="15"/>
      <c r="I40" s="57" t="s">
        <v>87</v>
      </c>
      <c r="J40" s="74">
        <v>2.0833333333333332E-2</v>
      </c>
      <c r="K40" s="63">
        <v>0.1875</v>
      </c>
    </row>
    <row r="41" spans="1:11" ht="24.95" customHeight="1" x14ac:dyDescent="0.3">
      <c r="A41" s="63">
        <v>0.20833333333333334</v>
      </c>
      <c r="B41" s="64">
        <v>4.1666666666666664E-2</v>
      </c>
      <c r="C41" s="9" t="s">
        <v>1</v>
      </c>
      <c r="D41" s="9" t="s">
        <v>1</v>
      </c>
      <c r="E41" s="9" t="s">
        <v>1</v>
      </c>
      <c r="F41" s="9" t="s">
        <v>1</v>
      </c>
      <c r="G41" s="9" t="s">
        <v>1</v>
      </c>
      <c r="H41" s="14" t="s">
        <v>5</v>
      </c>
      <c r="I41" s="58"/>
      <c r="J41" s="72">
        <v>4.1666666666666664E-2</v>
      </c>
      <c r="K41" s="63">
        <v>0.20833333333333334</v>
      </c>
    </row>
    <row r="42" spans="1:11" ht="24.95" customHeight="1" thickBot="1" x14ac:dyDescent="0.35">
      <c r="A42" s="63">
        <v>0.22916666666666666</v>
      </c>
      <c r="B42" s="65">
        <v>6.25E-2</v>
      </c>
      <c r="C42" s="11" t="s">
        <v>31</v>
      </c>
      <c r="D42" s="11" t="s">
        <v>39</v>
      </c>
      <c r="E42" s="11" t="s">
        <v>47</v>
      </c>
      <c r="F42" s="11" t="s">
        <v>55</v>
      </c>
      <c r="G42" s="11" t="s">
        <v>63</v>
      </c>
      <c r="H42" s="17" t="s">
        <v>65</v>
      </c>
      <c r="I42" s="59"/>
      <c r="J42" s="73">
        <v>6.25E-2</v>
      </c>
      <c r="K42" s="63">
        <v>0.22916666666666666</v>
      </c>
    </row>
    <row r="43" spans="1:11" ht="24.95" customHeight="1" x14ac:dyDescent="0.3">
      <c r="A43" s="68">
        <v>0.25</v>
      </c>
      <c r="B43" s="72">
        <v>8.3333333333333329E-2</v>
      </c>
      <c r="C43" s="14"/>
      <c r="D43" s="24"/>
      <c r="E43" s="24"/>
      <c r="F43" s="24"/>
      <c r="G43" s="24"/>
      <c r="H43" s="24" t="s">
        <v>11</v>
      </c>
      <c r="I43" s="47" t="s">
        <v>13</v>
      </c>
      <c r="J43" s="70">
        <v>8.3333333333333329E-2</v>
      </c>
      <c r="K43" s="68">
        <v>0.25</v>
      </c>
    </row>
    <row r="44" spans="1:11" ht="24.95" customHeight="1" thickBot="1" x14ac:dyDescent="0.35">
      <c r="A44" s="68">
        <v>0.27083333333333331</v>
      </c>
      <c r="B44" s="73">
        <v>0.10416666666666667</v>
      </c>
      <c r="C44" s="9" t="s">
        <v>18</v>
      </c>
      <c r="D44" s="12" t="s">
        <v>18</v>
      </c>
      <c r="E44" s="12" t="s">
        <v>18</v>
      </c>
      <c r="F44" s="12" t="s">
        <v>18</v>
      </c>
      <c r="G44" s="12" t="s">
        <v>18</v>
      </c>
      <c r="H44" s="15" t="s">
        <v>67</v>
      </c>
      <c r="I44" s="56" t="s">
        <v>68</v>
      </c>
      <c r="J44" s="74">
        <v>0.10416666666666667</v>
      </c>
      <c r="K44" s="68">
        <v>0.27083333333333331</v>
      </c>
    </row>
    <row r="45" spans="1:11" ht="24.95" customHeight="1" x14ac:dyDescent="0.3">
      <c r="A45" s="63">
        <v>0.29166666666666669</v>
      </c>
      <c r="B45" s="70">
        <v>0.125</v>
      </c>
      <c r="C45" s="49" t="s">
        <v>92</v>
      </c>
      <c r="D45" s="49" t="s">
        <v>78</v>
      </c>
      <c r="E45" s="49" t="s">
        <v>75</v>
      </c>
      <c r="F45" s="49" t="s">
        <v>76</v>
      </c>
      <c r="G45" s="49" t="s">
        <v>77</v>
      </c>
      <c r="H45" s="14"/>
      <c r="I45" s="56"/>
      <c r="J45" s="70">
        <v>0.125</v>
      </c>
      <c r="K45" s="63">
        <v>0.29166666666666669</v>
      </c>
    </row>
    <row r="46" spans="1:11" ht="24.95" customHeight="1" thickBot="1" x14ac:dyDescent="0.35">
      <c r="A46" s="63">
        <v>0.3125</v>
      </c>
      <c r="B46" s="74">
        <v>0.14583333333333334</v>
      </c>
      <c r="C46" s="17"/>
      <c r="D46" s="15"/>
      <c r="E46" s="15"/>
      <c r="F46" s="15"/>
      <c r="G46" s="15"/>
      <c r="H46" s="9" t="s">
        <v>89</v>
      </c>
      <c r="I46" s="15"/>
      <c r="J46" s="74">
        <v>0.14583333333333334</v>
      </c>
      <c r="K46" s="63">
        <v>0.3125</v>
      </c>
    </row>
    <row r="47" spans="1:11" ht="24.95" customHeight="1" x14ac:dyDescent="0.3">
      <c r="A47" s="63">
        <v>0.33333333333333331</v>
      </c>
      <c r="B47" s="70">
        <v>0.16666666666666666</v>
      </c>
      <c r="C47" s="33"/>
      <c r="D47" s="33"/>
      <c r="E47" s="33"/>
      <c r="F47" s="33"/>
      <c r="G47" s="33"/>
      <c r="H47" s="49" t="s">
        <v>90</v>
      </c>
      <c r="I47" s="24" t="s">
        <v>9</v>
      </c>
      <c r="J47" s="70">
        <v>0.16666666666666666</v>
      </c>
      <c r="K47" s="63">
        <v>0.33333333333333331</v>
      </c>
    </row>
    <row r="48" spans="1:11" ht="24.95" customHeight="1" thickBot="1" x14ac:dyDescent="0.35">
      <c r="A48" s="63">
        <v>0.35416666666666669</v>
      </c>
      <c r="B48" s="74">
        <v>0.1875</v>
      </c>
      <c r="C48" s="35" t="s">
        <v>3</v>
      </c>
      <c r="D48" s="35" t="s">
        <v>3</v>
      </c>
      <c r="E48" s="35" t="s">
        <v>3</v>
      </c>
      <c r="F48" s="35" t="s">
        <v>3</v>
      </c>
      <c r="G48" s="35" t="s">
        <v>3</v>
      </c>
      <c r="H48" s="50"/>
      <c r="I48" s="15" t="s">
        <v>69</v>
      </c>
      <c r="J48" s="74">
        <v>0.1875</v>
      </c>
      <c r="K48" s="63">
        <v>0.35416666666666669</v>
      </c>
    </row>
    <row r="49" spans="1:11" ht="24.95" customHeight="1" x14ac:dyDescent="0.3">
      <c r="A49" s="63">
        <v>0.375</v>
      </c>
      <c r="B49" s="70">
        <v>0.20833333333333334</v>
      </c>
      <c r="C49" s="38" t="s">
        <v>26</v>
      </c>
      <c r="D49" s="38" t="s">
        <v>34</v>
      </c>
      <c r="E49" s="38" t="s">
        <v>42</v>
      </c>
      <c r="F49" s="38" t="s">
        <v>50</v>
      </c>
      <c r="G49" s="38" t="s">
        <v>58</v>
      </c>
      <c r="H49" s="14" t="s">
        <v>7</v>
      </c>
      <c r="I49" s="19" t="s">
        <v>4</v>
      </c>
      <c r="J49" s="70">
        <v>0.20833333333333334</v>
      </c>
      <c r="K49" s="63">
        <v>0.375</v>
      </c>
    </row>
    <row r="50" spans="1:11" ht="24.95" customHeight="1" thickBot="1" x14ac:dyDescent="0.35">
      <c r="A50" s="63">
        <v>0.39583333333333331</v>
      </c>
      <c r="B50" s="74">
        <v>0.22916666666666666</v>
      </c>
      <c r="C50" s="41"/>
      <c r="D50" s="41"/>
      <c r="E50" s="41"/>
      <c r="F50" s="41"/>
      <c r="G50" s="41"/>
      <c r="H50" s="17" t="s">
        <v>91</v>
      </c>
      <c r="I50" s="21" t="s">
        <v>84</v>
      </c>
      <c r="J50" s="74">
        <v>0.22916666666666666</v>
      </c>
      <c r="K50" s="63">
        <v>0.39583333333333331</v>
      </c>
    </row>
    <row r="51" spans="1:11" ht="24.95" customHeight="1" x14ac:dyDescent="0.3">
      <c r="A51" s="75"/>
      <c r="B51" s="75"/>
      <c r="C51" s="60"/>
      <c r="D51" s="60"/>
      <c r="E51" s="60"/>
      <c r="F51" s="61"/>
      <c r="G51" s="62"/>
      <c r="H51" s="61"/>
      <c r="I51" s="60"/>
      <c r="J51" s="75"/>
      <c r="K51" s="75"/>
    </row>
    <row r="52" spans="1:11" ht="24.95" customHeight="1" x14ac:dyDescent="0.3">
      <c r="A52" s="76"/>
      <c r="B52" s="76"/>
      <c r="C52" s="61"/>
      <c r="D52" s="61"/>
      <c r="E52" s="61"/>
      <c r="F52" s="61"/>
      <c r="G52" s="61"/>
      <c r="H52" s="61"/>
      <c r="I52" s="61"/>
      <c r="J52" s="76"/>
      <c r="K52" s="76"/>
    </row>
    <row r="53" spans="1:11" ht="24.95" customHeight="1" x14ac:dyDescent="0.3">
      <c r="A53" s="76"/>
      <c r="B53" s="76"/>
      <c r="C53" s="61"/>
      <c r="D53" s="61"/>
      <c r="E53" s="61"/>
      <c r="F53" s="61"/>
      <c r="G53" s="61"/>
      <c r="H53" s="61"/>
      <c r="I53" s="61"/>
      <c r="J53" s="76"/>
      <c r="K53" s="76"/>
    </row>
    <row r="54" spans="1:11" ht="24.95" customHeight="1" x14ac:dyDescent="0.3">
      <c r="A54" s="76"/>
      <c r="B54" s="76"/>
      <c r="C54" s="61"/>
      <c r="D54" s="61"/>
      <c r="E54" s="61"/>
      <c r="F54" s="61"/>
      <c r="G54" s="61"/>
      <c r="H54" s="61"/>
      <c r="I54" s="61"/>
      <c r="J54" s="76"/>
      <c r="K54" s="76"/>
    </row>
    <row r="55" spans="1:11" ht="24.95" customHeight="1" x14ac:dyDescent="0.3">
      <c r="A55" s="76"/>
      <c r="B55" s="76"/>
      <c r="C55" s="61"/>
      <c r="D55" s="61"/>
      <c r="E55" s="61"/>
      <c r="F55" s="61"/>
      <c r="G55" s="61"/>
      <c r="H55" s="61"/>
      <c r="I55" s="61"/>
      <c r="J55" s="76"/>
      <c r="K55" s="76"/>
    </row>
    <row r="56" spans="1:11" ht="24.95" customHeight="1" x14ac:dyDescent="0.3">
      <c r="A56" s="76"/>
      <c r="B56" s="76"/>
      <c r="C56" s="61"/>
      <c r="D56" s="61"/>
      <c r="E56" s="61"/>
      <c r="F56" s="61"/>
      <c r="G56" s="61"/>
      <c r="H56" s="61"/>
      <c r="I56" s="61"/>
      <c r="J56" s="76"/>
      <c r="K56" s="76"/>
    </row>
  </sheetData>
  <mergeCells count="1">
    <mergeCell ref="A1:K1"/>
  </mergeCells>
  <phoneticPr fontId="4" type="noConversion"/>
  <pageMargins left="0.1" right="0.1" top="0.1" bottom="0.1" header="0.1" footer="0.1"/>
  <pageSetup scale="3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5" x14ac:dyDescent="0.25"/>
  <cols>
    <col min="3" max="4" width="14.7109375" bestFit="1" customWidth="1"/>
    <col min="5" max="5" width="17.5703125" bestFit="1" customWidth="1"/>
    <col min="6" max="6" width="15.28515625" bestFit="1" customWidth="1"/>
    <col min="7" max="7" width="12.7109375" bestFit="1" customWidth="1"/>
    <col min="8" max="8" width="17.140625" bestFit="1" customWidth="1"/>
    <col min="9" max="9" width="15.7109375" bestFit="1" customWidth="1"/>
  </cols>
  <sheetData>
    <row r="1" spans="1:9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C2" s="2">
        <v>46230</v>
      </c>
      <c r="D2" s="2">
        <f>C2+1</f>
        <v>46231</v>
      </c>
      <c r="E2" s="2">
        <f>C2+2</f>
        <v>46232</v>
      </c>
      <c r="F2" s="2">
        <f>C2+3</f>
        <v>46233</v>
      </c>
      <c r="G2" s="2">
        <f>C2+4</f>
        <v>46234</v>
      </c>
      <c r="H2" s="2">
        <f>C2+5</f>
        <v>46235</v>
      </c>
      <c r="I2" s="2">
        <f>C2+6</f>
        <v>46236</v>
      </c>
    </row>
  </sheetData>
  <mergeCells count="1">
    <mergeCell ref="A1:I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defaultRowHeight="15" x14ac:dyDescent="0.25"/>
  <cols>
    <col min="3" max="4" width="14.7109375" bestFit="1" customWidth="1"/>
    <col min="5" max="5" width="17.5703125" bestFit="1" customWidth="1"/>
    <col min="6" max="6" width="15.28515625" bestFit="1" customWidth="1"/>
    <col min="7" max="7" width="12.7109375" bestFit="1" customWidth="1"/>
    <col min="8" max="8" width="17.140625" bestFit="1" customWidth="1"/>
    <col min="9" max="9" width="15.7109375" bestFit="1" customWidth="1"/>
  </cols>
  <sheetData>
    <row r="1" spans="1:9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</row>
    <row r="2" spans="1:9" x14ac:dyDescent="0.25">
      <c r="C2" s="2">
        <v>46230</v>
      </c>
      <c r="D2" s="2">
        <f>C2+1</f>
        <v>46231</v>
      </c>
      <c r="E2" s="2">
        <f>C2+2</f>
        <v>46232</v>
      </c>
      <c r="F2" s="2">
        <f>C2+3</f>
        <v>46233</v>
      </c>
      <c r="G2" s="2">
        <f>C2+4</f>
        <v>46234</v>
      </c>
      <c r="H2" s="2">
        <f>C2+5</f>
        <v>46235</v>
      </c>
      <c r="I2" s="2">
        <f>C2+6</f>
        <v>46236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Sulamita Hernandez</dc:creator>
  <cp:lastModifiedBy>Mauricio Hernandez Rodriguez</cp:lastModifiedBy>
  <cp:lastPrinted>2022-10-12T13:50:35Z</cp:lastPrinted>
  <dcterms:created xsi:type="dcterms:W3CDTF">2016-03-16T19:40:43Z</dcterms:created>
  <dcterms:modified xsi:type="dcterms:W3CDTF">2026-07-31T17:12:37Z</dcterms:modified>
</cp:coreProperties>
</file>